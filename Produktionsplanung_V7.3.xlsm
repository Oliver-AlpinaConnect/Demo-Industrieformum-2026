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rzig.o\Documents\tmp\excel\"/>
    </mc:Choice>
  </mc:AlternateContent>
  <xr:revisionPtr revIDLastSave="0" documentId="13_ncr:1_{2F30D021-D2A8-4AC1-8FD0-D21BAF384132}" xr6:coauthVersionLast="47" xr6:coauthVersionMax="47" xr10:uidLastSave="{00000000-0000-0000-0000-000000000000}"/>
  <bookViews>
    <workbookView xWindow="-108" yWindow="-108" windowWidth="23256" windowHeight="13896" tabRatio="500" firstSheet="3" activeTab="8" xr2:uid="{00000000-000D-0000-FFFF-FFFF00000000}"/>
  </bookViews>
  <sheets>
    <sheet name="Übersicht" sheetId="1" r:id="rId1"/>
    <sheet name="Parameter" sheetId="2" r:id="rId2"/>
    <sheet name="Lieferanten" sheetId="3" r:id="rId3"/>
    <sheet name="Rohmaterial" sheetId="4" r:id="rId4"/>
    <sheet name="Artikel" sheetId="5" r:id="rId5"/>
    <sheet name="Stückliste" sheetId="6" r:id="rId6"/>
    <sheet name="Kapazität" sheetId="7" r:id="rId7"/>
    <sheet name="Aufträge" sheetId="8" r:id="rId8"/>
    <sheet name="Wochenplan" sheetId="9" r:id="rId9"/>
    <sheet name="Bedarf" sheetId="10" r:id="rId10"/>
    <sheet name="ERP_Export" sheetId="11" r:id="rId11"/>
    <sheet name="Planung_2021_alt" sheetId="12" state="hidden" r:id="rId12"/>
    <sheet name="Tabelle3" sheetId="13" r:id="rId13"/>
  </sheets>
  <definedNames>
    <definedName name="_xlnm._FilterDatabase" localSheetId="7" hidden="1">Aufträge!$A$3:$V$53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E18" i="10" l="1"/>
  <c r="AC18" i="10"/>
  <c r="AB18" i="10"/>
  <c r="AA18" i="10"/>
  <c r="N18" i="10"/>
  <c r="M18" i="10"/>
  <c r="O18" i="10" s="1"/>
  <c r="C18" i="10"/>
  <c r="B18" i="10"/>
  <c r="A18" i="10"/>
  <c r="AE17" i="10"/>
  <c r="AC17" i="10"/>
  <c r="AB17" i="10"/>
  <c r="AA17" i="10"/>
  <c r="O17" i="10"/>
  <c r="N17" i="10"/>
  <c r="M17" i="10"/>
  <c r="C17" i="10"/>
  <c r="B17" i="10"/>
  <c r="A17" i="10"/>
  <c r="AE16" i="10"/>
  <c r="AA16" i="10"/>
  <c r="AB16" i="10" s="1"/>
  <c r="O16" i="10"/>
  <c r="N16" i="10"/>
  <c r="M16" i="10"/>
  <c r="C16" i="10"/>
  <c r="B16" i="10"/>
  <c r="A16" i="10"/>
  <c r="AE15" i="10"/>
  <c r="AA15" i="10"/>
  <c r="AC15" i="10" s="1"/>
  <c r="N15" i="10"/>
  <c r="M15" i="10"/>
  <c r="O15" i="10" s="1"/>
  <c r="C15" i="10"/>
  <c r="B15" i="10"/>
  <c r="A15" i="10"/>
  <c r="AE14" i="10"/>
  <c r="AC14" i="10"/>
  <c r="AA14" i="10"/>
  <c r="AB14" i="10" s="1"/>
  <c r="N14" i="10"/>
  <c r="M14" i="10"/>
  <c r="O14" i="10" s="1"/>
  <c r="C14" i="10"/>
  <c r="B14" i="10"/>
  <c r="A14" i="10"/>
  <c r="AE13" i="10"/>
  <c r="AA13" i="10"/>
  <c r="AC13" i="10" s="1"/>
  <c r="N13" i="10"/>
  <c r="M13" i="10"/>
  <c r="O13" i="10" s="1"/>
  <c r="C13" i="10"/>
  <c r="B13" i="10"/>
  <c r="A13" i="10"/>
  <c r="AE12" i="10"/>
  <c r="AA12" i="10"/>
  <c r="AC12" i="10" s="1"/>
  <c r="N12" i="10"/>
  <c r="O12" i="10" s="1"/>
  <c r="M12" i="10"/>
  <c r="C12" i="10"/>
  <c r="B12" i="10"/>
  <c r="A12" i="10"/>
  <c r="AE11" i="10"/>
  <c r="AA11" i="10"/>
  <c r="AC11" i="10" s="1"/>
  <c r="N11" i="10"/>
  <c r="O11" i="10" s="1"/>
  <c r="M11" i="10"/>
  <c r="C11" i="10"/>
  <c r="B11" i="10"/>
  <c r="A11" i="10"/>
  <c r="AE10" i="10"/>
  <c r="AC10" i="10"/>
  <c r="AB10" i="10"/>
  <c r="AA10" i="10"/>
  <c r="N10" i="10"/>
  <c r="M10" i="10"/>
  <c r="O10" i="10" s="1"/>
  <c r="C10" i="10"/>
  <c r="B10" i="10"/>
  <c r="A10" i="10"/>
  <c r="AE9" i="10"/>
  <c r="AC9" i="10"/>
  <c r="AB9" i="10"/>
  <c r="AA9" i="10"/>
  <c r="N9" i="10"/>
  <c r="M9" i="10"/>
  <c r="O9" i="10" s="1"/>
  <c r="C9" i="10"/>
  <c r="B9" i="10"/>
  <c r="A9" i="10"/>
  <c r="AE8" i="10"/>
  <c r="AA8" i="10"/>
  <c r="AB8" i="10" s="1"/>
  <c r="O8" i="10"/>
  <c r="N8" i="10"/>
  <c r="M8" i="10"/>
  <c r="C8" i="10"/>
  <c r="B8" i="10"/>
  <c r="A8" i="10"/>
  <c r="AE7" i="10"/>
  <c r="AA7" i="10"/>
  <c r="AC7" i="10" s="1"/>
  <c r="N7" i="10"/>
  <c r="M7" i="10"/>
  <c r="O7" i="10" s="1"/>
  <c r="C7" i="10"/>
  <c r="B7" i="10"/>
  <c r="A7" i="10"/>
  <c r="AE6" i="10"/>
  <c r="AC6" i="10"/>
  <c r="AB6" i="10"/>
  <c r="AA6" i="10"/>
  <c r="N6" i="10"/>
  <c r="M6" i="10"/>
  <c r="O6" i="10" s="1"/>
  <c r="C6" i="10"/>
  <c r="B6" i="10"/>
  <c r="A6" i="10"/>
  <c r="AE5" i="10"/>
  <c r="AA5" i="10"/>
  <c r="AC5" i="10" s="1"/>
  <c r="N5" i="10"/>
  <c r="M5" i="10"/>
  <c r="O5" i="10" s="1"/>
  <c r="C5" i="10"/>
  <c r="B5" i="10"/>
  <c r="A5" i="10"/>
  <c r="AE4" i="10"/>
  <c r="AA4" i="10"/>
  <c r="AC4" i="10" s="1"/>
  <c r="N4" i="10"/>
  <c r="O4" i="10" s="1"/>
  <c r="M4" i="10"/>
  <c r="C4" i="10"/>
  <c r="B4" i="10"/>
  <c r="A4" i="10"/>
  <c r="P53" i="8"/>
  <c r="M53" i="8"/>
  <c r="N53" i="8" s="1"/>
  <c r="J53" i="8"/>
  <c r="I53" i="8"/>
  <c r="H53" i="8"/>
  <c r="K53" i="8" s="1"/>
  <c r="L53" i="8" s="1"/>
  <c r="G53" i="8"/>
  <c r="M52" i="8"/>
  <c r="N52" i="8" s="1"/>
  <c r="P52" i="8" s="1"/>
  <c r="J52" i="8"/>
  <c r="L52" i="8" s="1"/>
  <c r="I52" i="8"/>
  <c r="H52" i="8"/>
  <c r="K52" i="8" s="1"/>
  <c r="G52" i="8"/>
  <c r="M51" i="8"/>
  <c r="N51" i="8" s="1"/>
  <c r="P51" i="8" s="1"/>
  <c r="K51" i="8"/>
  <c r="J51" i="8"/>
  <c r="L51" i="8" s="1"/>
  <c r="I51" i="8"/>
  <c r="H51" i="8"/>
  <c r="G51" i="8"/>
  <c r="M50" i="8"/>
  <c r="N50" i="8" s="1"/>
  <c r="P50" i="8" s="1"/>
  <c r="J50" i="8"/>
  <c r="I50" i="8"/>
  <c r="H50" i="8"/>
  <c r="K50" i="8" s="1"/>
  <c r="L50" i="8" s="1"/>
  <c r="G50" i="8"/>
  <c r="M49" i="8"/>
  <c r="N49" i="8" s="1"/>
  <c r="P49" i="8" s="1"/>
  <c r="J49" i="8"/>
  <c r="I49" i="8"/>
  <c r="H49" i="8"/>
  <c r="K49" i="8" s="1"/>
  <c r="L49" i="8" s="1"/>
  <c r="G49" i="8"/>
  <c r="N48" i="8"/>
  <c r="P48" i="8" s="1"/>
  <c r="M48" i="8"/>
  <c r="K48" i="8"/>
  <c r="J48" i="8"/>
  <c r="L48" i="8" s="1"/>
  <c r="I48" i="8"/>
  <c r="H48" i="8"/>
  <c r="G48" i="8"/>
  <c r="M47" i="8"/>
  <c r="N47" i="8" s="1"/>
  <c r="P47" i="8" s="1"/>
  <c r="K47" i="8"/>
  <c r="J47" i="8"/>
  <c r="L47" i="8" s="1"/>
  <c r="I47" i="8"/>
  <c r="H47" i="8"/>
  <c r="G47" i="8"/>
  <c r="P46" i="8"/>
  <c r="M46" i="8"/>
  <c r="N46" i="8" s="1"/>
  <c r="J46" i="8"/>
  <c r="L46" i="8" s="1"/>
  <c r="I46" i="8"/>
  <c r="H46" i="8"/>
  <c r="K46" i="8" s="1"/>
  <c r="G46" i="8"/>
  <c r="M45" i="8"/>
  <c r="N45" i="8" s="1"/>
  <c r="P45" i="8" s="1"/>
  <c r="J45" i="8"/>
  <c r="L45" i="8" s="1"/>
  <c r="I45" i="8"/>
  <c r="H45" i="8"/>
  <c r="K45" i="8" s="1"/>
  <c r="G45" i="8"/>
  <c r="P44" i="8"/>
  <c r="M44" i="8"/>
  <c r="N44" i="8" s="1"/>
  <c r="L44" i="8"/>
  <c r="K44" i="8"/>
  <c r="J44" i="8"/>
  <c r="I44" i="8"/>
  <c r="H44" i="8"/>
  <c r="G44" i="8"/>
  <c r="N43" i="8"/>
  <c r="P43" i="8" s="1"/>
  <c r="M43" i="8"/>
  <c r="J43" i="8"/>
  <c r="L43" i="8" s="1"/>
  <c r="I43" i="8"/>
  <c r="H43" i="8"/>
  <c r="K43" i="8" s="1"/>
  <c r="G43" i="8"/>
  <c r="N42" i="8"/>
  <c r="P42" i="8" s="1"/>
  <c r="M42" i="8"/>
  <c r="K42" i="8"/>
  <c r="L42" i="8" s="1"/>
  <c r="J42" i="8"/>
  <c r="I42" i="8"/>
  <c r="H42" i="8"/>
  <c r="G42" i="8"/>
  <c r="N41" i="8"/>
  <c r="P41" i="8" s="1"/>
  <c r="M41" i="8"/>
  <c r="J41" i="8"/>
  <c r="I41" i="8"/>
  <c r="H41" i="8"/>
  <c r="K41" i="8" s="1"/>
  <c r="L41" i="8" s="1"/>
  <c r="G41" i="8"/>
  <c r="M40" i="8"/>
  <c r="N40" i="8" s="1"/>
  <c r="P40" i="8" s="1"/>
  <c r="K40" i="8"/>
  <c r="J40" i="8"/>
  <c r="I40" i="8"/>
  <c r="H40" i="8"/>
  <c r="G40" i="8"/>
  <c r="M39" i="8"/>
  <c r="N39" i="8" s="1"/>
  <c r="P39" i="8" s="1"/>
  <c r="J39" i="8"/>
  <c r="I39" i="8"/>
  <c r="H39" i="8"/>
  <c r="K39" i="8" s="1"/>
  <c r="L39" i="8" s="1"/>
  <c r="G39" i="8"/>
  <c r="M38" i="8"/>
  <c r="N38" i="8" s="1"/>
  <c r="P38" i="8" s="1"/>
  <c r="K38" i="8"/>
  <c r="L38" i="8" s="1"/>
  <c r="J38" i="8"/>
  <c r="I38" i="8"/>
  <c r="H38" i="8"/>
  <c r="G38" i="8"/>
  <c r="M37" i="8"/>
  <c r="N37" i="8" s="1"/>
  <c r="P37" i="8" s="1"/>
  <c r="L37" i="8"/>
  <c r="J37" i="8"/>
  <c r="I37" i="8"/>
  <c r="H37" i="8"/>
  <c r="K37" i="8" s="1"/>
  <c r="G37" i="8"/>
  <c r="M36" i="8"/>
  <c r="N36" i="8" s="1"/>
  <c r="P36" i="8" s="1"/>
  <c r="K36" i="8"/>
  <c r="J36" i="8"/>
  <c r="L36" i="8" s="1"/>
  <c r="I36" i="8"/>
  <c r="H36" i="8"/>
  <c r="G36" i="8"/>
  <c r="P35" i="8"/>
  <c r="N35" i="8"/>
  <c r="M35" i="8"/>
  <c r="J35" i="8"/>
  <c r="I35" i="8"/>
  <c r="H35" i="8"/>
  <c r="K35" i="8" s="1"/>
  <c r="L35" i="8" s="1"/>
  <c r="G35" i="8"/>
  <c r="M34" i="8"/>
  <c r="N34" i="8" s="1"/>
  <c r="P34" i="8" s="1"/>
  <c r="K34" i="8"/>
  <c r="L34" i="8" s="1"/>
  <c r="J34" i="8"/>
  <c r="I34" i="8"/>
  <c r="H34" i="8"/>
  <c r="G34" i="8"/>
  <c r="M33" i="8"/>
  <c r="N33" i="8" s="1"/>
  <c r="P33" i="8" s="1"/>
  <c r="J33" i="8"/>
  <c r="I33" i="8"/>
  <c r="H33" i="8"/>
  <c r="K33" i="8" s="1"/>
  <c r="L33" i="8" s="1"/>
  <c r="G33" i="8"/>
  <c r="M32" i="8"/>
  <c r="N32" i="8" s="1"/>
  <c r="P32" i="8" s="1"/>
  <c r="K32" i="8"/>
  <c r="J32" i="8"/>
  <c r="I32" i="8"/>
  <c r="H32" i="8"/>
  <c r="G32" i="8"/>
  <c r="M31" i="8"/>
  <c r="N31" i="8" s="1"/>
  <c r="P31" i="8" s="1"/>
  <c r="J31" i="8"/>
  <c r="I31" i="8"/>
  <c r="H31" i="8"/>
  <c r="K31" i="8" s="1"/>
  <c r="L31" i="8" s="1"/>
  <c r="G31" i="8"/>
  <c r="M30" i="8"/>
  <c r="N30" i="8" s="1"/>
  <c r="P30" i="8" s="1"/>
  <c r="L30" i="8"/>
  <c r="K30" i="8"/>
  <c r="J30" i="8"/>
  <c r="I30" i="8"/>
  <c r="H30" i="8"/>
  <c r="G30" i="8"/>
  <c r="N29" i="8"/>
  <c r="P29" i="8" s="1"/>
  <c r="M29" i="8"/>
  <c r="K29" i="8"/>
  <c r="J29" i="8"/>
  <c r="L29" i="8" s="1"/>
  <c r="I29" i="8"/>
  <c r="H29" i="8"/>
  <c r="G29" i="8"/>
  <c r="N28" i="8"/>
  <c r="P28" i="8" s="1"/>
  <c r="M28" i="8"/>
  <c r="J28" i="8"/>
  <c r="I28" i="8"/>
  <c r="H28" i="8"/>
  <c r="K28" i="8" s="1"/>
  <c r="L28" i="8" s="1"/>
  <c r="G28" i="8"/>
  <c r="M27" i="8"/>
  <c r="N27" i="8" s="1"/>
  <c r="P27" i="8" s="1"/>
  <c r="K27" i="8"/>
  <c r="L27" i="8" s="1"/>
  <c r="J27" i="8"/>
  <c r="I27" i="8"/>
  <c r="H27" i="8"/>
  <c r="G27" i="8"/>
  <c r="S26" i="8"/>
  <c r="T26" i="8" s="1"/>
  <c r="M26" i="8"/>
  <c r="N26" i="8" s="1"/>
  <c r="P26" i="8" s="1"/>
  <c r="J26" i="8"/>
  <c r="I26" i="8"/>
  <c r="H26" i="8"/>
  <c r="K26" i="8" s="1"/>
  <c r="G26" i="8"/>
  <c r="M25" i="8"/>
  <c r="N25" i="8" s="1"/>
  <c r="P25" i="8" s="1"/>
  <c r="J25" i="8"/>
  <c r="I25" i="8"/>
  <c r="H25" i="8"/>
  <c r="K25" i="8" s="1"/>
  <c r="G25" i="8"/>
  <c r="P24" i="8"/>
  <c r="M24" i="8"/>
  <c r="N24" i="8" s="1"/>
  <c r="K24" i="8"/>
  <c r="J24" i="8"/>
  <c r="L24" i="8" s="1"/>
  <c r="I24" i="8"/>
  <c r="H24" i="8"/>
  <c r="G24" i="8"/>
  <c r="P23" i="8"/>
  <c r="N23" i="8"/>
  <c r="M23" i="8"/>
  <c r="J23" i="8"/>
  <c r="I23" i="8"/>
  <c r="H23" i="8"/>
  <c r="K23" i="8" s="1"/>
  <c r="L23" i="8" s="1"/>
  <c r="G23" i="8"/>
  <c r="M22" i="8"/>
  <c r="N22" i="8" s="1"/>
  <c r="P22" i="8" s="1"/>
  <c r="L22" i="8"/>
  <c r="K22" i="8"/>
  <c r="J22" i="8"/>
  <c r="I22" i="8"/>
  <c r="H22" i="8"/>
  <c r="G22" i="8"/>
  <c r="N21" i="8"/>
  <c r="P21" i="8" s="1"/>
  <c r="M21" i="8"/>
  <c r="K21" i="8"/>
  <c r="J21" i="8"/>
  <c r="L21" i="8" s="1"/>
  <c r="I21" i="8"/>
  <c r="H21" i="8"/>
  <c r="G21" i="8"/>
  <c r="N20" i="8"/>
  <c r="P20" i="8" s="1"/>
  <c r="M20" i="8"/>
  <c r="K20" i="8"/>
  <c r="L20" i="8" s="1"/>
  <c r="J20" i="8"/>
  <c r="I20" i="8"/>
  <c r="H20" i="8"/>
  <c r="G20" i="8"/>
  <c r="M19" i="8"/>
  <c r="N19" i="8" s="1"/>
  <c r="P19" i="8" s="1"/>
  <c r="K19" i="8"/>
  <c r="L19" i="8" s="1"/>
  <c r="J19" i="8"/>
  <c r="I19" i="8"/>
  <c r="H19" i="8"/>
  <c r="G19" i="8"/>
  <c r="M18" i="8"/>
  <c r="N18" i="8" s="1"/>
  <c r="P18" i="8" s="1"/>
  <c r="J18" i="8"/>
  <c r="L18" i="8" s="1"/>
  <c r="I18" i="8"/>
  <c r="H18" i="8"/>
  <c r="K18" i="8" s="1"/>
  <c r="G18" i="8"/>
  <c r="M17" i="8"/>
  <c r="N17" i="8" s="1"/>
  <c r="P17" i="8" s="1"/>
  <c r="J17" i="8"/>
  <c r="I17" i="8"/>
  <c r="H17" i="8"/>
  <c r="K17" i="8" s="1"/>
  <c r="G17" i="8"/>
  <c r="M16" i="8"/>
  <c r="N16" i="8" s="1"/>
  <c r="P16" i="8" s="1"/>
  <c r="K16" i="8"/>
  <c r="J16" i="8"/>
  <c r="L16" i="8" s="1"/>
  <c r="I16" i="8"/>
  <c r="H16" i="8"/>
  <c r="G16" i="8"/>
  <c r="P15" i="8"/>
  <c r="N15" i="8"/>
  <c r="M15" i="8"/>
  <c r="J15" i="8"/>
  <c r="I15" i="8"/>
  <c r="H15" i="8"/>
  <c r="K15" i="8" s="1"/>
  <c r="L15" i="8" s="1"/>
  <c r="G15" i="8"/>
  <c r="M14" i="8"/>
  <c r="N14" i="8" s="1"/>
  <c r="P14" i="8" s="1"/>
  <c r="L14" i="8"/>
  <c r="K14" i="8"/>
  <c r="J14" i="8"/>
  <c r="I14" i="8"/>
  <c r="H14" i="8"/>
  <c r="G14" i="8"/>
  <c r="N13" i="8"/>
  <c r="P13" i="8" s="1"/>
  <c r="M13" i="8"/>
  <c r="K13" i="8"/>
  <c r="J13" i="8"/>
  <c r="L13" i="8" s="1"/>
  <c r="I13" i="8"/>
  <c r="H13" i="8"/>
  <c r="G13" i="8"/>
  <c r="N12" i="8"/>
  <c r="P12" i="8" s="1"/>
  <c r="M12" i="8"/>
  <c r="K12" i="8"/>
  <c r="L12" i="8" s="1"/>
  <c r="J12" i="8"/>
  <c r="I12" i="8"/>
  <c r="H12" i="8"/>
  <c r="G12" i="8"/>
  <c r="S11" i="8"/>
  <c r="T11" i="8" s="1"/>
  <c r="M11" i="8"/>
  <c r="N11" i="8" s="1"/>
  <c r="P11" i="8" s="1"/>
  <c r="K11" i="8"/>
  <c r="L11" i="8" s="1"/>
  <c r="J11" i="8"/>
  <c r="I11" i="8"/>
  <c r="H11" i="8"/>
  <c r="G11" i="8"/>
  <c r="M10" i="8"/>
  <c r="N10" i="8" s="1"/>
  <c r="P10" i="8" s="1"/>
  <c r="J10" i="8"/>
  <c r="L10" i="8" s="1"/>
  <c r="I10" i="8"/>
  <c r="H10" i="8"/>
  <c r="K10" i="8" s="1"/>
  <c r="G10" i="8"/>
  <c r="M9" i="8"/>
  <c r="N9" i="8" s="1"/>
  <c r="P9" i="8" s="1"/>
  <c r="J9" i="8"/>
  <c r="L9" i="8" s="1"/>
  <c r="I9" i="8"/>
  <c r="H9" i="8"/>
  <c r="K9" i="8" s="1"/>
  <c r="G9" i="8"/>
  <c r="M8" i="8"/>
  <c r="N8" i="8" s="1"/>
  <c r="P8" i="8" s="1"/>
  <c r="K8" i="8"/>
  <c r="J8" i="8"/>
  <c r="L8" i="8" s="1"/>
  <c r="I8" i="8"/>
  <c r="H8" i="8"/>
  <c r="G8" i="8"/>
  <c r="P7" i="8"/>
  <c r="N7" i="8"/>
  <c r="M7" i="8"/>
  <c r="J7" i="8"/>
  <c r="I7" i="8"/>
  <c r="H7" i="8"/>
  <c r="K7" i="8" s="1"/>
  <c r="L7" i="8" s="1"/>
  <c r="G7" i="8"/>
  <c r="M6" i="8"/>
  <c r="N6" i="8" s="1"/>
  <c r="P6" i="8" s="1"/>
  <c r="L6" i="8"/>
  <c r="K6" i="8"/>
  <c r="J6" i="8"/>
  <c r="I6" i="8"/>
  <c r="H6" i="8"/>
  <c r="G6" i="8"/>
  <c r="N5" i="8"/>
  <c r="P5" i="8" s="1"/>
  <c r="M5" i="8"/>
  <c r="K5" i="8"/>
  <c r="J5" i="8"/>
  <c r="L5" i="8" s="1"/>
  <c r="I5" i="8"/>
  <c r="H5" i="8"/>
  <c r="G5" i="8"/>
  <c r="N4" i="8"/>
  <c r="P4" i="8" s="1"/>
  <c r="M4" i="8"/>
  <c r="K4" i="8"/>
  <c r="L4" i="8" s="1"/>
  <c r="B4" i="13" s="1"/>
  <c r="J4" i="8"/>
  <c r="I4" i="8"/>
  <c r="H4" i="8"/>
  <c r="G4" i="8"/>
  <c r="G5" i="7"/>
  <c r="E5" i="7"/>
  <c r="D5" i="7"/>
  <c r="C5" i="7"/>
  <c r="G4" i="7"/>
  <c r="E3" i="7"/>
  <c r="D3" i="7"/>
  <c r="C3" i="7"/>
  <c r="G3" i="7" s="1"/>
  <c r="E2" i="7"/>
  <c r="D2" i="7"/>
  <c r="G2" i="7" s="1"/>
  <c r="C2" i="7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S34" i="8" s="1"/>
  <c r="T34" i="8" s="1"/>
  <c r="A3" i="6"/>
  <c r="S13" i="8" s="1"/>
  <c r="T13" i="8" s="1"/>
  <c r="A2" i="6"/>
  <c r="S40" i="8" s="1"/>
  <c r="T40" i="8" s="1"/>
  <c r="B18" i="1"/>
  <c r="B17" i="1"/>
  <c r="B16" i="1"/>
  <c r="B15" i="1"/>
  <c r="C7" i="1"/>
  <c r="C6" i="1"/>
  <c r="C5" i="1"/>
  <c r="G2" i="1"/>
  <c r="F2" i="1"/>
  <c r="C11" i="9" l="1"/>
  <c r="B11" i="9"/>
  <c r="I11" i="9"/>
  <c r="H11" i="9"/>
  <c r="G11" i="9"/>
  <c r="F11" i="9"/>
  <c r="E11" i="9"/>
  <c r="D11" i="9"/>
  <c r="C12" i="9"/>
  <c r="B12" i="9"/>
  <c r="I12" i="9"/>
  <c r="H12" i="9"/>
  <c r="G12" i="9"/>
  <c r="F12" i="9"/>
  <c r="E12" i="9"/>
  <c r="D12" i="9"/>
  <c r="L17" i="8"/>
  <c r="C7" i="9" s="1"/>
  <c r="L26" i="8"/>
  <c r="L25" i="8"/>
  <c r="U8" i="8"/>
  <c r="V8" i="8" s="1"/>
  <c r="S7" i="8"/>
  <c r="T7" i="8" s="1"/>
  <c r="U13" i="8"/>
  <c r="V13" i="8" s="1"/>
  <c r="U21" i="8"/>
  <c r="V21" i="8" s="1"/>
  <c r="S23" i="8"/>
  <c r="T23" i="8" s="1"/>
  <c r="S37" i="8"/>
  <c r="T37" i="8" s="1"/>
  <c r="S39" i="8"/>
  <c r="T39" i="8" s="1"/>
  <c r="S46" i="8"/>
  <c r="T46" i="8" s="1"/>
  <c r="C14" i="9"/>
  <c r="B14" i="9"/>
  <c r="I14" i="9"/>
  <c r="H14" i="9"/>
  <c r="G14" i="9"/>
  <c r="F14" i="9"/>
  <c r="E14" i="9"/>
  <c r="D14" i="9"/>
  <c r="B24" i="9"/>
  <c r="B25" i="9" s="1"/>
  <c r="C9" i="1" s="1"/>
  <c r="S10" i="8"/>
  <c r="T10" i="8" s="1"/>
  <c r="U16" i="8"/>
  <c r="V16" i="8" s="1"/>
  <c r="S18" i="8"/>
  <c r="T18" i="8" s="1"/>
  <c r="U24" i="8"/>
  <c r="V24" i="8" s="1"/>
  <c r="S33" i="8"/>
  <c r="T33" i="8" s="1"/>
  <c r="S41" i="8"/>
  <c r="T41" i="8" s="1"/>
  <c r="U43" i="8"/>
  <c r="V43" i="8" s="1"/>
  <c r="C8" i="1"/>
  <c r="U5" i="8"/>
  <c r="V5" i="8" s="1"/>
  <c r="S15" i="8"/>
  <c r="T15" i="8" s="1"/>
  <c r="U29" i="8"/>
  <c r="V29" i="8" s="1"/>
  <c r="S31" i="8"/>
  <c r="T31" i="8" s="1"/>
  <c r="S35" i="8"/>
  <c r="T35" i="8" s="1"/>
  <c r="U47" i="8"/>
  <c r="V47" i="8" s="1"/>
  <c r="S4" i="8"/>
  <c r="I4" i="10" s="1"/>
  <c r="U10" i="8"/>
  <c r="V10" i="8" s="1"/>
  <c r="S12" i="8"/>
  <c r="T12" i="8" s="1"/>
  <c r="U18" i="8"/>
  <c r="V18" i="8" s="1"/>
  <c r="S20" i="8"/>
  <c r="T20" i="8" s="1"/>
  <c r="U26" i="8"/>
  <c r="V26" i="8" s="1"/>
  <c r="S28" i="8"/>
  <c r="T28" i="8" s="1"/>
  <c r="U31" i="8"/>
  <c r="V31" i="8" s="1"/>
  <c r="U33" i="8"/>
  <c r="V33" i="8" s="1"/>
  <c r="U39" i="8"/>
  <c r="V39" i="8" s="1"/>
  <c r="U41" i="8"/>
  <c r="V41" i="8" s="1"/>
  <c r="U44" i="8"/>
  <c r="V44" i="8" s="1"/>
  <c r="U45" i="8"/>
  <c r="V45" i="8" s="1"/>
  <c r="U46" i="8"/>
  <c r="V46" i="8" s="1"/>
  <c r="U52" i="8"/>
  <c r="V52" i="8" s="1"/>
  <c r="C6" i="9"/>
  <c r="C5" i="9"/>
  <c r="C4" i="9"/>
  <c r="B7" i="9"/>
  <c r="B6" i="9"/>
  <c r="B5" i="9"/>
  <c r="B4" i="9"/>
  <c r="I7" i="9"/>
  <c r="I6" i="9"/>
  <c r="I5" i="9"/>
  <c r="I4" i="9"/>
  <c r="H7" i="9"/>
  <c r="H6" i="9"/>
  <c r="H5" i="9"/>
  <c r="G7" i="9"/>
  <c r="G6" i="9"/>
  <c r="G5" i="9"/>
  <c r="G4" i="9"/>
  <c r="F7" i="9"/>
  <c r="F6" i="9"/>
  <c r="F5" i="9"/>
  <c r="F4" i="9"/>
  <c r="E7" i="9"/>
  <c r="E6" i="9"/>
  <c r="E5" i="9"/>
  <c r="E4" i="9"/>
  <c r="D7" i="9"/>
  <c r="D6" i="9"/>
  <c r="D5" i="9"/>
  <c r="D4" i="9"/>
  <c r="U7" i="8"/>
  <c r="V7" i="8" s="1"/>
  <c r="S9" i="8"/>
  <c r="T9" i="8" s="1"/>
  <c r="U15" i="8"/>
  <c r="V15" i="8" s="1"/>
  <c r="S17" i="8"/>
  <c r="T17" i="8" s="1"/>
  <c r="U23" i="8"/>
  <c r="V23" i="8" s="1"/>
  <c r="S25" i="8"/>
  <c r="T25" i="8" s="1"/>
  <c r="U35" i="8"/>
  <c r="V35" i="8" s="1"/>
  <c r="U37" i="8"/>
  <c r="V37" i="8" s="1"/>
  <c r="C13" i="9"/>
  <c r="B13" i="9"/>
  <c r="I13" i="9"/>
  <c r="I20" i="9" s="1"/>
  <c r="H13" i="9"/>
  <c r="G13" i="9"/>
  <c r="F13" i="9"/>
  <c r="E13" i="9"/>
  <c r="D13" i="9"/>
  <c r="U4" i="8"/>
  <c r="V4" i="8" s="1"/>
  <c r="S6" i="8"/>
  <c r="T6" i="8" s="1"/>
  <c r="U12" i="8"/>
  <c r="V12" i="8" s="1"/>
  <c r="S14" i="8"/>
  <c r="T14" i="8" s="1"/>
  <c r="U20" i="8"/>
  <c r="V20" i="8" s="1"/>
  <c r="S22" i="8"/>
  <c r="T22" i="8" s="1"/>
  <c r="U28" i="8"/>
  <c r="V28" i="8" s="1"/>
  <c r="S30" i="8"/>
  <c r="T30" i="8" s="1"/>
  <c r="S32" i="8"/>
  <c r="T32" i="8" s="1"/>
  <c r="S38" i="8"/>
  <c r="T38" i="8" s="1"/>
  <c r="U9" i="8"/>
  <c r="V9" i="8" s="1"/>
  <c r="U17" i="8"/>
  <c r="V17" i="8" s="1"/>
  <c r="S19" i="8"/>
  <c r="T19" i="8" s="1"/>
  <c r="U25" i="8"/>
  <c r="V25" i="8" s="1"/>
  <c r="S27" i="8"/>
  <c r="T27" i="8" s="1"/>
  <c r="S49" i="8"/>
  <c r="T49" i="8" s="1"/>
  <c r="S52" i="8"/>
  <c r="T52" i="8" s="1"/>
  <c r="U50" i="8"/>
  <c r="V50" i="8" s="1"/>
  <c r="S44" i="8"/>
  <c r="T44" i="8" s="1"/>
  <c r="U42" i="8"/>
  <c r="V42" i="8" s="1"/>
  <c r="S36" i="8"/>
  <c r="T36" i="8" s="1"/>
  <c r="U34" i="8"/>
  <c r="V34" i="8" s="1"/>
  <c r="U53" i="8"/>
  <c r="V53" i="8" s="1"/>
  <c r="S47" i="8"/>
  <c r="T47" i="8" s="1"/>
  <c r="S50" i="8"/>
  <c r="T50" i="8" s="1"/>
  <c r="U48" i="8"/>
  <c r="V48" i="8" s="1"/>
  <c r="S42" i="8"/>
  <c r="T42" i="8" s="1"/>
  <c r="S53" i="8"/>
  <c r="T53" i="8" s="1"/>
  <c r="U51" i="8"/>
  <c r="V51" i="8" s="1"/>
  <c r="S45" i="8"/>
  <c r="T45" i="8" s="1"/>
  <c r="S48" i="8"/>
  <c r="T48" i="8" s="1"/>
  <c r="S51" i="8"/>
  <c r="T51" i="8" s="1"/>
  <c r="U49" i="8"/>
  <c r="V49" i="8" s="1"/>
  <c r="S43" i="8"/>
  <c r="T43" i="8" s="1"/>
  <c r="U6" i="8"/>
  <c r="V6" i="8" s="1"/>
  <c r="S8" i="8"/>
  <c r="T8" i="8" s="1"/>
  <c r="U14" i="8"/>
  <c r="V14" i="8" s="1"/>
  <c r="S16" i="8"/>
  <c r="T16" i="8" s="1"/>
  <c r="U22" i="8"/>
  <c r="V22" i="8" s="1"/>
  <c r="S24" i="8"/>
  <c r="T24" i="8" s="1"/>
  <c r="U30" i="8"/>
  <c r="V30" i="8" s="1"/>
  <c r="U32" i="8"/>
  <c r="V32" i="8" s="1"/>
  <c r="U38" i="8"/>
  <c r="V38" i="8" s="1"/>
  <c r="U40" i="8"/>
  <c r="V40" i="8" s="1"/>
  <c r="S5" i="8"/>
  <c r="T5" i="8" s="1"/>
  <c r="U11" i="8"/>
  <c r="V11" i="8" s="1"/>
  <c r="U19" i="8"/>
  <c r="V19" i="8" s="1"/>
  <c r="S21" i="8"/>
  <c r="T21" i="8" s="1"/>
  <c r="U27" i="8"/>
  <c r="V27" i="8" s="1"/>
  <c r="S29" i="8"/>
  <c r="T29" i="8" s="1"/>
  <c r="L32" i="8"/>
  <c r="U36" i="8"/>
  <c r="V36" i="8" s="1"/>
  <c r="L40" i="8"/>
  <c r="H4" i="9" s="1"/>
  <c r="D8" i="10"/>
  <c r="I9" i="10"/>
  <c r="AC8" i="10"/>
  <c r="J9" i="10"/>
  <c r="D11" i="10"/>
  <c r="AB11" i="10"/>
  <c r="E16" i="10"/>
  <c r="AC16" i="10"/>
  <c r="G18" i="10"/>
  <c r="H10" i="10"/>
  <c r="E11" i="10"/>
  <c r="D14" i="10"/>
  <c r="I18" i="10"/>
  <c r="AB4" i="10"/>
  <c r="J10" i="10"/>
  <c r="AB12" i="10"/>
  <c r="G6" i="10"/>
  <c r="AB7" i="10"/>
  <c r="K10" i="10"/>
  <c r="AB15" i="10"/>
  <c r="I16" i="10"/>
  <c r="K18" i="10"/>
  <c r="D10" i="10"/>
  <c r="AB5" i="10"/>
  <c r="I6" i="10"/>
  <c r="E10" i="10"/>
  <c r="J11" i="10"/>
  <c r="D13" i="10"/>
  <c r="AB13" i="10"/>
  <c r="B20" i="9" l="1"/>
  <c r="C17" i="1" s="1"/>
  <c r="F20" i="9"/>
  <c r="G20" i="9"/>
  <c r="H20" i="9"/>
  <c r="I10" i="10"/>
  <c r="H18" i="10"/>
  <c r="H7" i="10"/>
  <c r="I17" i="10"/>
  <c r="C20" i="9"/>
  <c r="F10" i="10"/>
  <c r="I21" i="9"/>
  <c r="D19" i="9"/>
  <c r="D18" i="9"/>
  <c r="K9" i="10"/>
  <c r="J6" i="10"/>
  <c r="D16" i="10"/>
  <c r="D20" i="9"/>
  <c r="I7" i="10"/>
  <c r="B21" i="9"/>
  <c r="C18" i="1" s="1"/>
  <c r="E19" i="9"/>
  <c r="E18" i="9"/>
  <c r="J5" i="10"/>
  <c r="H15" i="10"/>
  <c r="D5" i="10"/>
  <c r="G14" i="10"/>
  <c r="J18" i="10"/>
  <c r="F8" i="10"/>
  <c r="K14" i="10"/>
  <c r="I14" i="10"/>
  <c r="K13" i="10"/>
  <c r="J13" i="10"/>
  <c r="I13" i="10"/>
  <c r="K17" i="10"/>
  <c r="D6" i="10"/>
  <c r="F13" i="10"/>
  <c r="K6" i="10"/>
  <c r="I15" i="10"/>
  <c r="I11" i="10"/>
  <c r="H11" i="10"/>
  <c r="F16" i="10"/>
  <c r="G5" i="10"/>
  <c r="F5" i="10"/>
  <c r="J14" i="10"/>
  <c r="E20" i="9"/>
  <c r="E5" i="10"/>
  <c r="C21" i="9"/>
  <c r="F19" i="9"/>
  <c r="F18" i="9"/>
  <c r="R10" i="10"/>
  <c r="R11" i="10"/>
  <c r="F18" i="10"/>
  <c r="D21" i="9"/>
  <c r="K11" i="10"/>
  <c r="G19" i="9"/>
  <c r="G18" i="9"/>
  <c r="R14" i="10"/>
  <c r="K5" i="10"/>
  <c r="I8" i="10"/>
  <c r="I5" i="10"/>
  <c r="G13" i="10"/>
  <c r="J17" i="10"/>
  <c r="G10" i="10"/>
  <c r="L10" i="10" s="1"/>
  <c r="P10" i="10" s="1"/>
  <c r="Q10" i="10" s="1"/>
  <c r="E13" i="10"/>
  <c r="E21" i="9"/>
  <c r="H19" i="9"/>
  <c r="H18" i="9"/>
  <c r="R13" i="10"/>
  <c r="F21" i="9"/>
  <c r="I19" i="9"/>
  <c r="I18" i="9"/>
  <c r="R8" i="10"/>
  <c r="G21" i="9"/>
  <c r="B19" i="9"/>
  <c r="C16" i="1" s="1"/>
  <c r="B18" i="9"/>
  <c r="C15" i="1" s="1"/>
  <c r="E8" i="10"/>
  <c r="G15" i="10"/>
  <c r="H12" i="10"/>
  <c r="G7" i="10"/>
  <c r="H4" i="10"/>
  <c r="E18" i="10"/>
  <c r="H17" i="10"/>
  <c r="K16" i="10"/>
  <c r="F15" i="10"/>
  <c r="G12" i="10"/>
  <c r="H9" i="10"/>
  <c r="K8" i="10"/>
  <c r="F7" i="10"/>
  <c r="G4" i="10"/>
  <c r="D18" i="10"/>
  <c r="G17" i="10"/>
  <c r="J16" i="10"/>
  <c r="E15" i="10"/>
  <c r="H14" i="10"/>
  <c r="F12" i="10"/>
  <c r="G9" i="10"/>
  <c r="J8" i="10"/>
  <c r="E7" i="10"/>
  <c r="H6" i="10"/>
  <c r="F4" i="10"/>
  <c r="F17" i="10"/>
  <c r="D15" i="10"/>
  <c r="E12" i="10"/>
  <c r="F9" i="10"/>
  <c r="D7" i="10"/>
  <c r="E4" i="10"/>
  <c r="E17" i="10"/>
  <c r="H16" i="10"/>
  <c r="K15" i="10"/>
  <c r="F14" i="10"/>
  <c r="D12" i="10"/>
  <c r="G11" i="10"/>
  <c r="L11" i="10" s="1"/>
  <c r="P11" i="10" s="1"/>
  <c r="Q11" i="10" s="1"/>
  <c r="E9" i="10"/>
  <c r="H8" i="10"/>
  <c r="K7" i="10"/>
  <c r="F6" i="10"/>
  <c r="D4" i="10"/>
  <c r="D17" i="10"/>
  <c r="G16" i="10"/>
  <c r="J15" i="10"/>
  <c r="E14" i="10"/>
  <c r="H13" i="10"/>
  <c r="K12" i="10"/>
  <c r="F11" i="10"/>
  <c r="D9" i="10"/>
  <c r="G8" i="10"/>
  <c r="J7" i="10"/>
  <c r="E6" i="10"/>
  <c r="H5" i="10"/>
  <c r="K4" i="10"/>
  <c r="J12" i="10"/>
  <c r="J4" i="10"/>
  <c r="T4" i="8"/>
  <c r="I12" i="10"/>
  <c r="H21" i="9"/>
  <c r="C19" i="9"/>
  <c r="C18" i="9"/>
  <c r="L14" i="10" l="1"/>
  <c r="P14" i="10" s="1"/>
  <c r="Q14" i="10" s="1"/>
  <c r="L13" i="10"/>
  <c r="P13" i="10" s="1"/>
  <c r="Q13" i="10" s="1"/>
  <c r="L8" i="10"/>
  <c r="P8" i="10" s="1"/>
  <c r="Q8" i="10" s="1"/>
  <c r="L12" i="10"/>
  <c r="P12" i="10" s="1"/>
  <c r="Q12" i="10" s="1"/>
  <c r="R12" i="10"/>
  <c r="S11" i="10"/>
  <c r="T11" i="10" s="1"/>
  <c r="U11" i="10" s="1"/>
  <c r="V11" i="10" s="1"/>
  <c r="W11" i="10" s="1"/>
  <c r="X11" i="10" s="1"/>
  <c r="Y11" i="10" s="1"/>
  <c r="Z11" i="10"/>
  <c r="L17" i="10"/>
  <c r="P17" i="10" s="1"/>
  <c r="Q17" i="10" s="1"/>
  <c r="R17" i="10"/>
  <c r="L15" i="10"/>
  <c r="P15" i="10" s="1"/>
  <c r="Q15" i="10" s="1"/>
  <c r="R15" i="10"/>
  <c r="S14" i="10"/>
  <c r="T14" i="10" s="1"/>
  <c r="U14" i="10" s="1"/>
  <c r="V14" i="10" s="1"/>
  <c r="W14" i="10" s="1"/>
  <c r="X14" i="10" s="1"/>
  <c r="Y14" i="10" s="1"/>
  <c r="S10" i="10"/>
  <c r="T10" i="10" s="1"/>
  <c r="U10" i="10" s="1"/>
  <c r="V10" i="10" s="1"/>
  <c r="W10" i="10" s="1"/>
  <c r="X10" i="10" s="1"/>
  <c r="Y10" i="10" s="1"/>
  <c r="Z10" i="10"/>
  <c r="R6" i="10"/>
  <c r="L6" i="10"/>
  <c r="P6" i="10" s="1"/>
  <c r="Q6" i="10" s="1"/>
  <c r="L9" i="10"/>
  <c r="P9" i="10" s="1"/>
  <c r="Q9" i="10" s="1"/>
  <c r="R9" i="10"/>
  <c r="L5" i="10"/>
  <c r="P5" i="10" s="1"/>
  <c r="Q5" i="10" s="1"/>
  <c r="R5" i="10"/>
  <c r="L16" i="10"/>
  <c r="P16" i="10" s="1"/>
  <c r="Q16" i="10" s="1"/>
  <c r="R16" i="10"/>
  <c r="S13" i="10"/>
  <c r="T13" i="10" s="1"/>
  <c r="U13" i="10" s="1"/>
  <c r="V13" i="10" s="1"/>
  <c r="W13" i="10" s="1"/>
  <c r="X13" i="10" s="1"/>
  <c r="Y13" i="10" s="1"/>
  <c r="Z13" i="10"/>
  <c r="S8" i="10"/>
  <c r="T8" i="10" s="1"/>
  <c r="U8" i="10" s="1"/>
  <c r="V8" i="10" s="1"/>
  <c r="W8" i="10" s="1"/>
  <c r="X8" i="10" s="1"/>
  <c r="Y8" i="10" s="1"/>
  <c r="L18" i="10"/>
  <c r="P18" i="10" s="1"/>
  <c r="Q18" i="10" s="1"/>
  <c r="R18" i="10"/>
  <c r="L4" i="10"/>
  <c r="P4" i="10" s="1"/>
  <c r="Q4" i="10" s="1"/>
  <c r="R4" i="10"/>
  <c r="L7" i="10"/>
  <c r="P7" i="10" s="1"/>
  <c r="Q7" i="10" s="1"/>
  <c r="R7" i="10"/>
  <c r="Z8" i="10" l="1"/>
  <c r="AI8" i="10" s="1"/>
  <c r="S18" i="10"/>
  <c r="T18" i="10" s="1"/>
  <c r="U18" i="10" s="1"/>
  <c r="V18" i="10" s="1"/>
  <c r="W18" i="10" s="1"/>
  <c r="X18" i="10" s="1"/>
  <c r="Y18" i="10" s="1"/>
  <c r="S5" i="10"/>
  <c r="T5" i="10" s="1"/>
  <c r="U5" i="10" s="1"/>
  <c r="V5" i="10" s="1"/>
  <c r="W5" i="10" s="1"/>
  <c r="X5" i="10" s="1"/>
  <c r="Y5" i="10" s="1"/>
  <c r="Z14" i="10"/>
  <c r="S9" i="10"/>
  <c r="T9" i="10" s="1"/>
  <c r="U9" i="10" s="1"/>
  <c r="V9" i="10" s="1"/>
  <c r="W9" i="10" s="1"/>
  <c r="X9" i="10" s="1"/>
  <c r="Y9" i="10" s="1"/>
  <c r="S15" i="10"/>
  <c r="T15" i="10" s="1"/>
  <c r="U15" i="10" s="1"/>
  <c r="V15" i="10" s="1"/>
  <c r="W15" i="10" s="1"/>
  <c r="X15" i="10" s="1"/>
  <c r="Y15" i="10" s="1"/>
  <c r="S7" i="10"/>
  <c r="T7" i="10" s="1"/>
  <c r="U7" i="10" s="1"/>
  <c r="V7" i="10" s="1"/>
  <c r="W7" i="10" s="1"/>
  <c r="X7" i="10" s="1"/>
  <c r="Y7" i="10" s="1"/>
  <c r="AI13" i="10"/>
  <c r="AF13" i="10"/>
  <c r="AH13" i="10" s="1"/>
  <c r="AD13" i="10"/>
  <c r="AG13" i="10" s="1"/>
  <c r="S17" i="10"/>
  <c r="T17" i="10" s="1"/>
  <c r="U17" i="10" s="1"/>
  <c r="V17" i="10" s="1"/>
  <c r="W17" i="10" s="1"/>
  <c r="X17" i="10" s="1"/>
  <c r="Y17" i="10" s="1"/>
  <c r="S6" i="10"/>
  <c r="T6" i="10" s="1"/>
  <c r="U6" i="10" s="1"/>
  <c r="V6" i="10" s="1"/>
  <c r="W6" i="10" s="1"/>
  <c r="X6" i="10" s="1"/>
  <c r="Y6" i="10" s="1"/>
  <c r="S4" i="10"/>
  <c r="T4" i="10" s="1"/>
  <c r="U4" i="10" s="1"/>
  <c r="V4" i="10" s="1"/>
  <c r="W4" i="10" s="1"/>
  <c r="X4" i="10" s="1"/>
  <c r="Y4" i="10" s="1"/>
  <c r="S16" i="10"/>
  <c r="T16" i="10" s="1"/>
  <c r="U16" i="10" s="1"/>
  <c r="V16" i="10" s="1"/>
  <c r="W16" i="10" s="1"/>
  <c r="X16" i="10" s="1"/>
  <c r="Y16" i="10" s="1"/>
  <c r="AD10" i="10"/>
  <c r="AG10" i="10" s="1"/>
  <c r="AI10" i="10"/>
  <c r="AF10" i="10"/>
  <c r="AH10" i="10" s="1"/>
  <c r="AI11" i="10"/>
  <c r="AF11" i="10"/>
  <c r="AH11" i="10" s="1"/>
  <c r="AD11" i="10"/>
  <c r="AG11" i="10" s="1"/>
  <c r="S12" i="10"/>
  <c r="T12" i="10" s="1"/>
  <c r="U12" i="10" s="1"/>
  <c r="V12" i="10" s="1"/>
  <c r="W12" i="10" s="1"/>
  <c r="X12" i="10" s="1"/>
  <c r="Y12" i="10" s="1"/>
  <c r="AD8" i="10" l="1"/>
  <c r="AG8" i="10" s="1"/>
  <c r="AF8" i="10"/>
  <c r="AH8" i="10" s="1"/>
  <c r="Z12" i="10"/>
  <c r="AD12" i="10" s="1"/>
  <c r="AG12" i="10" s="1"/>
  <c r="Z16" i="10"/>
  <c r="AI16" i="10" s="1"/>
  <c r="Z18" i="10"/>
  <c r="AI18" i="10" s="1"/>
  <c r="Z4" i="10"/>
  <c r="AI4" i="10" s="1"/>
  <c r="Z9" i="10"/>
  <c r="AI9" i="10" s="1"/>
  <c r="Z7" i="10"/>
  <c r="AF14" i="10"/>
  <c r="AH14" i="10" s="1"/>
  <c r="AD14" i="10"/>
  <c r="AG14" i="10" s="1"/>
  <c r="AI14" i="10"/>
  <c r="Z6" i="10"/>
  <c r="Z15" i="10"/>
  <c r="Z5" i="10"/>
  <c r="Z17" i="10"/>
  <c r="AF12" i="10" l="1"/>
  <c r="AH12" i="10" s="1"/>
  <c r="AD18" i="10"/>
  <c r="AG18" i="10" s="1"/>
  <c r="AD9" i="10"/>
  <c r="AG9" i="10" s="1"/>
  <c r="AF9" i="10"/>
  <c r="AH9" i="10" s="1"/>
  <c r="AD16" i="10"/>
  <c r="AG16" i="10" s="1"/>
  <c r="AD4" i="10"/>
  <c r="AG4" i="10" s="1"/>
  <c r="AF4" i="10"/>
  <c r="AH4" i="10" s="1"/>
  <c r="AF16" i="10"/>
  <c r="AH16" i="10" s="1"/>
  <c r="AF18" i="10"/>
  <c r="AH18" i="10" s="1"/>
  <c r="AI12" i="10"/>
  <c r="AF17" i="10"/>
  <c r="AH17" i="10" s="1"/>
  <c r="AD17" i="10"/>
  <c r="AG17" i="10" s="1"/>
  <c r="AI17" i="10"/>
  <c r="AD7" i="10"/>
  <c r="AG7" i="10" s="1"/>
  <c r="AI7" i="10"/>
  <c r="AF7" i="10"/>
  <c r="AH7" i="10" s="1"/>
  <c r="AI5" i="10"/>
  <c r="AF5" i="10"/>
  <c r="AH5" i="10" s="1"/>
  <c r="AD5" i="10"/>
  <c r="AG5" i="10" s="1"/>
  <c r="AD15" i="10"/>
  <c r="AG15" i="10" s="1"/>
  <c r="AI15" i="10"/>
  <c r="AF15" i="10"/>
  <c r="AH15" i="10" s="1"/>
  <c r="AF6" i="10"/>
  <c r="AH6" i="10" s="1"/>
  <c r="AD6" i="10"/>
  <c r="AG6" i="10" s="1"/>
  <c r="AI6" i="10"/>
  <c r="C12" i="1" l="1"/>
  <c r="AH20" i="10"/>
  <c r="C11" i="1" s="1"/>
  <c r="AG20" i="10"/>
  <c r="C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B2" authorId="0" shapeId="0" xr:uid="{00000000-0006-0000-0100-000001000000}">
      <text>
        <r>
          <rPr>
            <sz val="10"/>
            <rFont val="Arial"/>
            <family val="2"/>
          </rPr>
          <t>Jeden Montag anpassen!! Sonst stimmt der Export nicht. BH</t>
        </r>
      </text>
    </comment>
    <comment ref="B4" authorId="0" shapeId="0" xr:uid="{00000000-0006-0000-0100-000002000000}">
      <text>
        <r>
          <rPr>
            <sz val="10"/>
            <rFont val="Arial"/>
            <family val="2"/>
          </rPr>
          <t>Muss zur KW passen (Montag). Kein Automatismus, weil Jahreswechsel Probleme macht.</t>
        </r>
      </text>
    </comment>
    <comment ref="B13" authorId="0" shapeId="0" xr:uid="{00000000-0006-0000-0100-000003000000}">
      <text>
        <r>
          <rPr>
            <sz val="10"/>
            <rFont val="Arial"/>
            <family val="2"/>
          </rPr>
          <t>Pfad für ERP-Export. Abacus Import-Ordner wird von Sandra sync't.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E1" authorId="0" shapeId="0" xr:uid="{00000000-0006-0000-0200-000001000000}">
      <text>
        <r>
          <rPr>
            <sz val="10"/>
            <rFont val="Arial"/>
            <family val="2"/>
          </rPr>
          <t>A = zuverlässig, B = ok, C = kritisch (Puffer!)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E1" authorId="0" shapeId="0" xr:uid="{00000000-0006-0000-0300-000001000000}">
      <text>
        <r>
          <rPr>
            <sz val="10"/>
            <rFont val="Arial"/>
            <family val="2"/>
          </rPr>
          <t>Lager wird manuell nachgeführt (Inventur Freitag). Nicht aus ERP!</t>
        </r>
      </text>
    </comment>
    <comment ref="I1" authorId="0" shapeId="0" xr:uid="{00000000-0006-0000-0300-000002000000}">
      <text>
        <r>
          <rPr>
            <sz val="10"/>
            <rFont val="Arial"/>
            <family val="2"/>
          </rPr>
          <t>Artikelnummer im Abacus. Muss mit Export übereinstimmen.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C1" authorId="0" shapeId="0" xr:uid="{00000000-0006-0000-0400-000001000000}">
      <text>
        <r>
          <rPr>
            <sz val="10"/>
            <rFont val="Arial"/>
            <family val="2"/>
          </rPr>
          <t>Genau so schreiben: Alu / 1.4301 / S235JR / GG25 / Messing / 42CrMo4. Sonst greift der Zuschlag nicht!</t>
        </r>
      </text>
    </comment>
    <comment ref="D1" authorId="0" shapeId="0" xr:uid="{00000000-0006-0000-0400-000002000000}">
      <text>
        <r>
          <rPr>
            <sz val="10"/>
            <rFont val="Arial"/>
            <family val="2"/>
          </rPr>
          <t>Standardmaschine. M1 DMG, M2 Mazak, M3 Hermle, M4 Fräsen. Manuelle Umplanung nur in Aufträge!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1" authorId="0" shapeId="0" xr:uid="{00000000-0006-0000-0500-000001000000}">
      <text>
        <r>
          <rPr>
            <sz val="10"/>
            <rFont val="Arial"/>
            <family val="2"/>
          </rPr>
          <t>NICHT ÄNDERN. Key wird in Aufträge für SVERWEIS gebraucht (ArtNr-Pos).</t>
        </r>
      </text>
    </comment>
    <comment ref="C1" authorId="0" shapeId="0" xr:uid="{00000000-0006-0000-0500-000002000000}">
      <text>
        <r>
          <rPr>
            <sz val="10"/>
            <rFont val="Arial"/>
            <family val="2"/>
          </rPr>
          <t>Max. 2 Positionen pro Artikel! Mehr geht nicht (siehe Aufträge Spalten S-V).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H1" authorId="0" shapeId="0" xr:uid="{00000000-0006-0000-0600-000001000000}">
      <text>
        <r>
          <rPr>
            <sz val="10"/>
            <rFont val="Arial"/>
            <family val="2"/>
          </rPr>
          <t>0 = keine Wartung im Horizont. Abzug siehe Parameter (16h).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K3" authorId="0" shapeId="0" xr:uid="{00000000-0006-0000-0700-000001000000}">
      <text>
        <r>
          <rPr>
            <sz val="10"/>
            <rFont val="Arial"/>
            <family val="2"/>
          </rPr>
          <t>Basis aus Artikel + 40 min wenn Alu und mehr als 500 Stk (Werkzeugwechsel Spannfutter).</t>
        </r>
      </text>
    </comment>
    <comment ref="M3" authorId="0" shapeId="0" xr:uid="{00000000-0006-0000-0700-000002000000}">
      <text>
        <r>
          <rPr>
            <sz val="10"/>
            <rFont val="Arial"/>
            <family val="2"/>
          </rPr>
          <t>KALENDERWOCHE mit Typ 21 = ISO. Jahreswechsel manuell korrigieren!!</t>
        </r>
      </text>
    </comment>
    <comment ref="O3" authorId="0" shapeId="0" xr:uid="{00000000-0006-0000-0700-000003000000}">
      <text>
        <r>
          <rPr>
            <sz val="10"/>
            <rFont val="Arial"/>
            <family val="2"/>
          </rPr>
          <t>Wird vom Makro Wochenplan_aktualisieren gesetzt. Kann auch von Hand überschrieben werden. Leer = Plan-KW gilt.</t>
        </r>
      </text>
    </comment>
    <comment ref="Q3" authorId="0" shapeId="0" xr:uid="{00000000-0006-0000-0700-000004000000}">
      <text>
        <r>
          <rPr>
            <sz val="10"/>
            <rFont val="Arial"/>
            <family val="2"/>
          </rPr>
          <t>offen / in Arbeit / erledigt. Genau so schreiben, sonst zählt der Wochenplan falsch.</t>
        </r>
      </text>
    </comment>
    <comment ref="S3" authorId="0" shapeId="0" xr:uid="{00000000-0006-0000-0700-000005000000}">
      <text>
        <r>
          <rPr>
            <sz val="10"/>
            <rFont val="Arial"/>
            <family val="2"/>
          </rPr>
          <t>Nicht anfassen. Spalten S bis V braucht das Blatt Bedarf.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25" authorId="0" shapeId="0" xr:uid="{00000000-0006-0000-0800-000001000000}">
      <text>
        <r>
          <rPr>
            <sz val="10"/>
            <rFont val="Arial"/>
            <family val="2"/>
          </rPr>
          <t>Aufträge mit KW vor/nach dem Horizont. Erscheinen nirgends! Von Hand prüfen.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Q3" authorId="0" shapeId="0" xr:uid="{00000000-0006-0000-0900-000001000000}">
      <text>
        <r>
          <rPr>
            <sz val="10"/>
            <rFont val="Arial"/>
            <family val="2"/>
          </rPr>
          <t>10% vom Ø-Wochenbedarf, mindestens 1 Gebinde. Hat sich bewährt.</t>
        </r>
      </text>
    </comment>
    <comment ref="Z3" authorId="0" shapeId="0" xr:uid="{00000000-0006-0000-0900-000002000000}">
      <text>
        <r>
          <rPr>
            <sz val="10"/>
            <rFont val="Arial"/>
            <family val="2"/>
          </rPr>
          <t>Erste KW in der kum. Bedarf + Sicherheit den verfügbaren Bestand übersteigt. Leer = reicht.</t>
        </r>
      </text>
    </comment>
    <comment ref="AD3" authorId="0" shapeId="0" xr:uid="{00000000-0006-0000-0900-000003000000}">
      <text>
        <r>
          <rPr>
            <sz val="10"/>
            <rFont val="Arial"/>
            <family val="2"/>
          </rPr>
          <t>Fehl-KW minus Lieferzeit. Lieferant C: 1 Woche extra (Giesserei!!).</t>
        </r>
      </text>
    </comment>
    <comment ref="AF3" authorId="0" shapeId="0" xr:uid="{00000000-0006-0000-0900-000004000000}">
      <text>
        <r>
          <rPr>
            <sz val="10"/>
            <rFont val="Arial"/>
            <family val="2"/>
          </rPr>
          <t>Deckt den ganzen Horizont (8 Wo) + Sicherheit, aufgerundet auf Gebinde.</t>
        </r>
      </text>
    </comment>
    <comment ref="AG3" authorId="0" shapeId="0" xr:uid="{00000000-0006-0000-0900-000005000000}">
      <text>
        <r>
          <rPr>
            <sz val="10"/>
            <rFont val="Arial"/>
            <family val="2"/>
          </rPr>
          <t>J = Bestell-KW ist diese Woche oder schon vorbei. Kleiner als aktuelle KW = ÜBERFÄLLIG.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1" authorId="0" shapeId="0" xr:uid="{00000000-0006-0000-0A00-000001000000}">
      <text>
        <r>
          <rPr>
            <sz val="10"/>
            <rFont val="Arial"/>
            <family val="2"/>
          </rPr>
          <t>Kopfzeile NICHT ÄNDERN. Reihenfolge muss mit Abacus Import-Definition PLAN_BESTELL übereinstimmen.</t>
        </r>
      </text>
    </comment>
  </commentList>
</comments>
</file>

<file path=xl/sharedStrings.xml><?xml version="1.0" encoding="utf-8"?>
<sst xmlns="http://schemas.openxmlformats.org/spreadsheetml/2006/main" count="814" uniqueCount="439">
  <si>
    <t>Meier Präzisionstechnik AG</t>
  </si>
  <si>
    <t>Version</t>
  </si>
  <si>
    <t>V7.3 / BH / 03.2024</t>
  </si>
  <si>
    <t>Produktionsplanung / Materialdisposition</t>
  </si>
  <si>
    <t>Aktuelle KW</t>
  </si>
  <si>
    <t>Kennzahlen</t>
  </si>
  <si>
    <t>Makros</t>
  </si>
  <si>
    <t>Offene Aufträge (offen + in Arbeit)</t>
  </si>
  <si>
    <t>▶ Wochenplan aktualisieren</t>
  </si>
  <si>
    <t>Ctrl+Shift+W  Verschiebt Aufträge bei Überlast (Prio C zuerst)</t>
  </si>
  <si>
    <t>davon in Arbeit</t>
  </si>
  <si>
    <t>davon überfällig (Liefer-KW &lt; aktuelle KW)</t>
  </si>
  <si>
    <t>▶ Export ERP</t>
  </si>
  <si>
    <t>Ctrl+Shift+E  Schreibt Bestellvorschlag als CSV (Freitag!)</t>
  </si>
  <si>
    <t>Aufträge in aktueller KW</t>
  </si>
  <si>
    <t>Aufträge ausserhalb Horizont</t>
  </si>
  <si>
    <t>▶ Auftrag abschliessen</t>
  </si>
  <si>
    <t>Ctrl+Shift+A  Markierte Zeile in Aufträge auf erledigt</t>
  </si>
  <si>
    <t>Bestellpositionen diese Woche</t>
  </si>
  <si>
    <t>Bestellwert diese Woche (CHF)</t>
  </si>
  <si>
    <t>davon überfällig</t>
  </si>
  <si>
    <t>Auslastung aktuelle KW</t>
  </si>
  <si>
    <t>Ablauf (jeden Montag)</t>
  </si>
  <si>
    <t>M1</t>
  </si>
  <si>
    <t>1. Aktuelle KW + Montag im Blatt Parameter setzen (ausgeblendet, Rechtsklick &gt; Einblenden)</t>
  </si>
  <si>
    <t>M2</t>
  </si>
  <si>
    <t>2. Neue Aufträge im Blatt Aufträge unten anfügen. Keine Zeilen einfügen!</t>
  </si>
  <si>
    <t>M3</t>
  </si>
  <si>
    <t>3. Lager im Blatt Rohmaterial nach Inventur nachführen</t>
  </si>
  <si>
    <t>M4</t>
  </si>
  <si>
    <t>4. Makro Wochenplan aktualisieren. Rote Felder im Wochenplan prüfen</t>
  </si>
  <si>
    <t>5. Freitag: Export ERP. CSV liegt im Ordner ERP_Import, Sandra importiert in Abacus</t>
  </si>
  <si>
    <t>6. Datei speichern unter P:\Produktion\Planung\ (Kopie mit Datum!)</t>
  </si>
  <si>
    <t>Bei Problemen: B. Huber, intern 214</t>
  </si>
  <si>
    <t>Makros müssen aktiviert sein (gelber Balken oben &gt; Inhalt aktivieren)</t>
  </si>
  <si>
    <t>Parameter Produktionsplanung</t>
  </si>
  <si>
    <t>Jahr</t>
  </si>
  <si>
    <t>Montag aktuelle KW</t>
  </si>
  <si>
    <t>Sicherheitsbestand %</t>
  </si>
  <si>
    <t>Auslastungsgrenze</t>
  </si>
  <si>
    <t>Rüstzuschlag Alu (min)</t>
  </si>
  <si>
    <t>Losgrenze Alu (Stk)</t>
  </si>
  <si>
    <t>Schichten pro Tag</t>
  </si>
  <si>
    <t>Std pro Schicht</t>
  </si>
  <si>
    <t>Puffer Lieferant C (Wochen)</t>
  </si>
  <si>
    <t>Arbeitstage pro Woche</t>
  </si>
  <si>
    <t>Export-Pfad</t>
  </si>
  <si>
    <t>Kostenstelle Einkauf</t>
  </si>
  <si>
    <t>Planungshorizont (Wochen)</t>
  </si>
  <si>
    <t>Wartungsabzug (h)</t>
  </si>
  <si>
    <t>Zuschlag Edelstahl (min)</t>
  </si>
  <si>
    <t>alt, wird nicht mehr verwendet (seit V5)</t>
  </si>
  <si>
    <t>Vorlauf Prio A (Wochen)</t>
  </si>
  <si>
    <t>TODO: in Aufträge verlinken</t>
  </si>
  <si>
    <t>Änderungen:</t>
  </si>
  <si>
    <t>03.2024 V7.3 Alu-Zuschlag als Parameter (BH)</t>
  </si>
  <si>
    <t>11.2023 V7.2 Wartungswochen in Kapazität (BH)</t>
  </si>
  <si>
    <t>06.2022 V6.0 Export auf Abacus-Format umgestellt (BH)</t>
  </si>
  <si>
    <t>01.2021 V5.0 Stückliste mit 2 Positionen (BH)</t>
  </si>
  <si>
    <t>2019 V1 erste Version</t>
  </si>
  <si>
    <t>LiefNr</t>
  </si>
  <si>
    <t>Name</t>
  </si>
  <si>
    <t>Ort</t>
  </si>
  <si>
    <t>Lieferzeit (Wo)</t>
  </si>
  <si>
    <t>Bewertung</t>
  </si>
  <si>
    <t>ERP-Nr</t>
  </si>
  <si>
    <t>Kontakt</t>
  </si>
  <si>
    <t>Bemerkung</t>
  </si>
  <si>
    <t>L-01</t>
  </si>
  <si>
    <t>Edelstahl Nordwest AG</t>
  </si>
  <si>
    <t>Pratteln</t>
  </si>
  <si>
    <t>A</t>
  </si>
  <si>
    <t>R. Vogt</t>
  </si>
  <si>
    <t>L-02</t>
  </si>
  <si>
    <t>Stahlhandel Aarau AG</t>
  </si>
  <si>
    <t>Aarau</t>
  </si>
  <si>
    <t>M. Keller</t>
  </si>
  <si>
    <t>Abholung möglich</t>
  </si>
  <si>
    <t>L-03</t>
  </si>
  <si>
    <t>Alu Profil Schweiz GmbH</t>
  </si>
  <si>
    <t>Sirnach</t>
  </si>
  <si>
    <t>B</t>
  </si>
  <si>
    <t>S. Gasser</t>
  </si>
  <si>
    <t>Platten nur ganze Gebinde</t>
  </si>
  <si>
    <t>L-04</t>
  </si>
  <si>
    <t>Giesserei Emmental AG</t>
  </si>
  <si>
    <t>Burgdorf</t>
  </si>
  <si>
    <t>C</t>
  </si>
  <si>
    <t>P. Aebi</t>
  </si>
  <si>
    <t>Lieferzeit unzuverlässig, immer +1 Wo</t>
  </si>
  <si>
    <t>L-05</t>
  </si>
  <si>
    <t>Metallhandel Rhein GmbH</t>
  </si>
  <si>
    <t>Rheinfelden</t>
  </si>
  <si>
    <t>D. Frey</t>
  </si>
  <si>
    <t>RohNr</t>
  </si>
  <si>
    <t>Bezeichnung</t>
  </si>
  <si>
    <t>Einheit</t>
  </si>
  <si>
    <t>Lieferant</t>
  </si>
  <si>
    <t>Lager</t>
  </si>
  <si>
    <t>Bestellt (offen)</t>
  </si>
  <si>
    <t>Gebinde</t>
  </si>
  <si>
    <t>Preis / Einheit</t>
  </si>
  <si>
    <t>Lagerort</t>
  </si>
  <si>
    <t>RM-101</t>
  </si>
  <si>
    <t>Rundstahl 1.4301 Ø20 x 6000</t>
  </si>
  <si>
    <t>Stange</t>
  </si>
  <si>
    <t>3010200</t>
  </si>
  <si>
    <t>H2-A1</t>
  </si>
  <si>
    <t>RM-102</t>
  </si>
  <si>
    <t>Rundstahl 1.4301 Ø40 x 6000</t>
  </si>
  <si>
    <t>3010400</t>
  </si>
  <si>
    <t>H2-A2</t>
  </si>
  <si>
    <t>RM-103</t>
  </si>
  <si>
    <t>Rundstahl S235JR Ø30 x 6000</t>
  </si>
  <si>
    <t>3020300</t>
  </si>
  <si>
    <t>H1-B1</t>
  </si>
  <si>
    <t>RM-104</t>
  </si>
  <si>
    <t>Rundstahl S235JR Ø60 x 6000</t>
  </si>
  <si>
    <t>3020600</t>
  </si>
  <si>
    <t>H1-B3</t>
  </si>
  <si>
    <t>RM-105</t>
  </si>
  <si>
    <t>Alu EN AW-6082 Rund Ø50 x 3000</t>
  </si>
  <si>
    <t>3050500</t>
  </si>
  <si>
    <t>H1-C1</t>
  </si>
  <si>
    <t>RM-106</t>
  </si>
  <si>
    <t>Alu EN AW-6082 Rund Ø80 x 3000</t>
  </si>
  <si>
    <t>3050800</t>
  </si>
  <si>
    <t>H1-C2</t>
  </si>
  <si>
    <t>RM-107</t>
  </si>
  <si>
    <t>Alu EN AW-6082 Platte 20x500x1000</t>
  </si>
  <si>
    <t>Platte</t>
  </si>
  <si>
    <t>3052000</t>
  </si>
  <si>
    <t>H1-D1</t>
  </si>
  <si>
    <t>RM-108</t>
  </si>
  <si>
    <t>Alu EN AW-5083 Platte 40x500x1000</t>
  </si>
  <si>
    <t>3054000</t>
  </si>
  <si>
    <t>H1-D2</t>
  </si>
  <si>
    <t>RM-109</t>
  </si>
  <si>
    <t>Guss-Rohling Gehäuse GG25 Typ G12</t>
  </si>
  <si>
    <t>Stk</t>
  </si>
  <si>
    <t>3090012</t>
  </si>
  <si>
    <t>Aussenlager</t>
  </si>
  <si>
    <t>RM-110</t>
  </si>
  <si>
    <t>Guss-Rohling Deckel GG25 Typ D12</t>
  </si>
  <si>
    <t>3090112</t>
  </si>
  <si>
    <t>RM-111</t>
  </si>
  <si>
    <t>Messing CuZn39Pb3 Sechskant SW17 x 3000</t>
  </si>
  <si>
    <t>3110017</t>
  </si>
  <si>
    <t>H2-B1</t>
  </si>
  <si>
    <t>RM-112</t>
  </si>
  <si>
    <t>Messing CuZn39Pb3 Rund Ø25 x 3000</t>
  </si>
  <si>
    <t>3110025</t>
  </si>
  <si>
    <t>H2-B2</t>
  </si>
  <si>
    <t>RM-113</t>
  </si>
  <si>
    <t>Rundstahl 42CrMo4 Ø35 x 6000</t>
  </si>
  <si>
    <t>3030350</t>
  </si>
  <si>
    <t>H1-B4</t>
  </si>
  <si>
    <t>RM-114</t>
  </si>
  <si>
    <t>Flachstahl S235JR 60x10 x 6000</t>
  </si>
  <si>
    <t>3020610</t>
  </si>
  <si>
    <t>H1-B2</t>
  </si>
  <si>
    <t>RM-115</t>
  </si>
  <si>
    <t>Rundstahl 1.4404 Ø16 x 6000</t>
  </si>
  <si>
    <t>3010160</t>
  </si>
  <si>
    <t>H2-A3</t>
  </si>
  <si>
    <t>ArtNr</t>
  </si>
  <si>
    <t>Material</t>
  </si>
  <si>
    <t>Maschine</t>
  </si>
  <si>
    <t>Bearb. min/Stk</t>
  </si>
  <si>
    <t>Rüstzeit Basis (min)</t>
  </si>
  <si>
    <t>Zeichnung</t>
  </si>
  <si>
    <t>Aktiv</t>
  </si>
  <si>
    <t>A-1001</t>
  </si>
  <si>
    <t>Welle Ø20x200 1.4301</t>
  </si>
  <si>
    <t>1.4301</t>
  </si>
  <si>
    <t>Z-20-0114</t>
  </si>
  <si>
    <t>J</t>
  </si>
  <si>
    <t>A-1002</t>
  </si>
  <si>
    <t>Welle Ø40x350 1.4301</t>
  </si>
  <si>
    <t>Z-20-0115</t>
  </si>
  <si>
    <t>A-1003</t>
  </si>
  <si>
    <t>Bolzen Ø30x120 S235</t>
  </si>
  <si>
    <t>S235JR</t>
  </si>
  <si>
    <t>Z-18-0221</t>
  </si>
  <si>
    <t>A-1004</t>
  </si>
  <si>
    <t>Achse Ø60x400 S235</t>
  </si>
  <si>
    <t>Z-19-0032</t>
  </si>
  <si>
    <t>A-1005</t>
  </si>
  <si>
    <t>Flansch DN50 Alu</t>
  </si>
  <si>
    <t>Alu</t>
  </si>
  <si>
    <t>Z-21-0087</t>
  </si>
  <si>
    <t>A-1006</t>
  </si>
  <si>
    <t>Flansch DN80 Alu</t>
  </si>
  <si>
    <t>Z-21-0088</t>
  </si>
  <si>
    <t>A-1007</t>
  </si>
  <si>
    <t>Adapterplatte 200x150 Alu</t>
  </si>
  <si>
    <t>Z-22-0011</t>
  </si>
  <si>
    <t>A-1008</t>
  </si>
  <si>
    <t>Grundplatte 400x300 Alu</t>
  </si>
  <si>
    <t>Z-22-0012</t>
  </si>
  <si>
    <t>A-1009</t>
  </si>
  <si>
    <t>Gehäuse G12 GG25</t>
  </si>
  <si>
    <t>GG25</t>
  </si>
  <si>
    <t>Z-17-0405</t>
  </si>
  <si>
    <t>A-1010</t>
  </si>
  <si>
    <t>Deckel D12 GG25</t>
  </si>
  <si>
    <t>Z-17-0406</t>
  </si>
  <si>
    <t>A-1011</t>
  </si>
  <si>
    <t>Sechskantmutter M10 Ms</t>
  </si>
  <si>
    <t>Messing</t>
  </si>
  <si>
    <t>Z-16-0009</t>
  </si>
  <si>
    <t>A-1012</t>
  </si>
  <si>
    <t>Anschlussnippel Ø25 Ms</t>
  </si>
  <si>
    <t>Z-16-0010</t>
  </si>
  <si>
    <t>A-1013</t>
  </si>
  <si>
    <t>Ritzelwelle 42CrMo4 Ø35</t>
  </si>
  <si>
    <t>42CrMo4</t>
  </si>
  <si>
    <t>Z-20-0201</t>
  </si>
  <si>
    <t>A-1014</t>
  </si>
  <si>
    <t>Halter 60x10 S235</t>
  </si>
  <si>
    <t>Z-18-0333</t>
  </si>
  <si>
    <t>A-1015</t>
  </si>
  <si>
    <t>Stift Ø16x80 1.4404</t>
  </si>
  <si>
    <t>1.4404</t>
  </si>
  <si>
    <t>Z-19-0101</t>
  </si>
  <si>
    <t>A-1016</t>
  </si>
  <si>
    <t>Distanzhülse Ø50 Alu</t>
  </si>
  <si>
    <t>Z-21-0090</t>
  </si>
  <si>
    <t>A-1017</t>
  </si>
  <si>
    <t>Nabe Ø80 Alu</t>
  </si>
  <si>
    <t>Z-21-0091</t>
  </si>
  <si>
    <t>A-1018</t>
  </si>
  <si>
    <t>Zwischenplatte 20 Alu</t>
  </si>
  <si>
    <t>Z-22-0013</t>
  </si>
  <si>
    <t>A-1019</t>
  </si>
  <si>
    <t>Lagerbock GG25 kompl.</t>
  </si>
  <si>
    <t>Z-17-0410</t>
  </si>
  <si>
    <t>A-1020</t>
  </si>
  <si>
    <t>Spannbolzen Ø30 S235 vernickelt</t>
  </si>
  <si>
    <t>Z-18-0222</t>
  </si>
  <si>
    <t>A-0998</t>
  </si>
  <si>
    <t>Welle Ø20x180 1.4301 (alt)</t>
  </si>
  <si>
    <t>Z-20-0113</t>
  </si>
  <si>
    <t>N</t>
  </si>
  <si>
    <t>Key</t>
  </si>
  <si>
    <t>Pos</t>
  </si>
  <si>
    <t>Menge / Stk</t>
  </si>
  <si>
    <t>Verschnitt %</t>
  </si>
  <si>
    <t>200mm + Abstich</t>
  </si>
  <si>
    <t>Alu: Verschnitt 8% wg. Planfräsen</t>
  </si>
  <si>
    <t>aus Platte, 40 Ronden pro Platte</t>
  </si>
  <si>
    <t>16 Stk pro Platte</t>
  </si>
  <si>
    <t>4 Stk pro Platte</t>
  </si>
  <si>
    <t>Guss-Rohling</t>
  </si>
  <si>
    <t>10 Stk pro Platte</t>
  </si>
  <si>
    <t>Gehäuse</t>
  </si>
  <si>
    <t>Deckel</t>
  </si>
  <si>
    <t>alt</t>
  </si>
  <si>
    <t>Schichten</t>
  </si>
  <si>
    <t>Std / Schicht</t>
  </si>
  <si>
    <t>Tage</t>
  </si>
  <si>
    <t>Verfügbarkeit</t>
  </si>
  <si>
    <t>Kapazität h / Woche</t>
  </si>
  <si>
    <t>Wartungs-KW</t>
  </si>
  <si>
    <t>DMG CTX beta 800 (Drehen)</t>
  </si>
  <si>
    <t>Wartung Herbst</t>
  </si>
  <si>
    <t>Mazak QT-250 (Drehen)</t>
  </si>
  <si>
    <t>Hermle C 22 (5-Achs)</t>
  </si>
  <si>
    <t>Verfügbarkeit tiefer wg. Einfahren neue Aufträge</t>
  </si>
  <si>
    <t>Fräszentrum Haas VF-3</t>
  </si>
  <si>
    <t>Auftragsliste</t>
  </si>
  <si>
    <t>Neue Aufträge unten anfügen (NICHT Zeilen einfügen!). Gelbe Spalten = Eingabe, Rest sind Formeln.</t>
  </si>
  <si>
    <t>Plan-KW: A = 2 Wochen vor Termin, sonst 1 Woche</t>
  </si>
  <si>
    <t>AufNr</t>
  </si>
  <si>
    <t>Kunde</t>
  </si>
  <si>
    <t>Prio</t>
  </si>
  <si>
    <t>Menge</t>
  </si>
  <si>
    <t>Liefertermin</t>
  </si>
  <si>
    <t>Bearb. (h)</t>
  </si>
  <si>
    <t>Rüstzeit (min)</t>
  </si>
  <si>
    <t>Gesamt (h)</t>
  </si>
  <si>
    <t>Liefer-KW</t>
  </si>
  <si>
    <t>Plan-KW</t>
  </si>
  <si>
    <t>Manuell KW</t>
  </si>
  <si>
    <t>KW eff.</t>
  </si>
  <si>
    <t>Status</t>
  </si>
  <si>
    <t>Rohmat 1</t>
  </si>
  <si>
    <t>Bedarf 1</t>
  </si>
  <si>
    <t>Rohmat 2</t>
  </si>
  <si>
    <t>Bedarf 2</t>
  </si>
  <si>
    <t>26-0388</t>
  </si>
  <si>
    <t>Rotag Antriebe AG</t>
  </si>
  <si>
    <t>erledigt</t>
  </si>
  <si>
    <t>ausgeliefert 17.09.</t>
  </si>
  <si>
    <t>26-0391</t>
  </si>
  <si>
    <t>Wyss Fördertechnik AG</t>
  </si>
  <si>
    <t>26-0395</t>
  </si>
  <si>
    <t>Limmat Pumpen AG</t>
  </si>
  <si>
    <t>vorgezogen</t>
  </si>
  <si>
    <t>26-0402</t>
  </si>
  <si>
    <t>Aare Hydraulik GmbH</t>
  </si>
  <si>
    <t>offen</t>
  </si>
  <si>
    <t>Kunde hat Termin verschoben, neuer Termin offen!</t>
  </si>
  <si>
    <t>26-0404</t>
  </si>
  <si>
    <t>in Arbeit</t>
  </si>
  <si>
    <t>26-0405</t>
  </si>
  <si>
    <t>Steiner Ventile AG</t>
  </si>
  <si>
    <t>26-0406</t>
  </si>
  <si>
    <t>Brunner Apparatebau AG</t>
  </si>
  <si>
    <t>26-0407</t>
  </si>
  <si>
    <t>TechnoDrive SA</t>
  </si>
  <si>
    <t>26-0408</t>
  </si>
  <si>
    <t>Furrer Präzision GmbH</t>
  </si>
  <si>
    <t>26-0409</t>
  </si>
  <si>
    <t>26-0410</t>
  </si>
  <si>
    <t>Reuss Automation AG</t>
  </si>
  <si>
    <t>26-0411</t>
  </si>
  <si>
    <t>Jura Mechanik AG</t>
  </si>
  <si>
    <t>26-0412</t>
  </si>
  <si>
    <t>26-0413</t>
  </si>
  <si>
    <t>Rohlinge prüfen (Lunker Charge 8/26)</t>
  </si>
  <si>
    <t>26-0414</t>
  </si>
  <si>
    <t>Grossauftrag</t>
  </si>
  <si>
    <t>26-0415</t>
  </si>
  <si>
    <t>26-0416</t>
  </si>
  <si>
    <t>26-0417</t>
  </si>
  <si>
    <t>26-0418</t>
  </si>
  <si>
    <t>26-0419</t>
  </si>
  <si>
    <t>26-0420</t>
  </si>
  <si>
    <t>26-0421</t>
  </si>
  <si>
    <t>26-0422</t>
  </si>
  <si>
    <t>Rahmenauftrag Abruf 3</t>
  </si>
  <si>
    <t>26-0423</t>
  </si>
  <si>
    <t>26-0424</t>
  </si>
  <si>
    <t>26-0425</t>
  </si>
  <si>
    <t>26-0426</t>
  </si>
  <si>
    <t>Härten extern, 1 Wo einplanen!</t>
  </si>
  <si>
    <t>26-0427</t>
  </si>
  <si>
    <t>26-0428</t>
  </si>
  <si>
    <t>26-0429</t>
  </si>
  <si>
    <t>26-0430</t>
  </si>
  <si>
    <t>26-0431</t>
  </si>
  <si>
    <t>26-0432</t>
  </si>
  <si>
    <t>26-0433</t>
  </si>
  <si>
    <t>26-0434</t>
  </si>
  <si>
    <t>26-0435</t>
  </si>
  <si>
    <t>26-0436</t>
  </si>
  <si>
    <t>26-0437</t>
  </si>
  <si>
    <t>26-0438</t>
  </si>
  <si>
    <t>26-0439</t>
  </si>
  <si>
    <t>26-0440</t>
  </si>
  <si>
    <t>26-0441</t>
  </si>
  <si>
    <t>26-0442</t>
  </si>
  <si>
    <t>26-0443</t>
  </si>
  <si>
    <t>26-0444</t>
  </si>
  <si>
    <t>26-0445</t>
  </si>
  <si>
    <t>26-0446</t>
  </si>
  <si>
    <t>26-0447</t>
  </si>
  <si>
    <t>26-0448</t>
  </si>
  <si>
    <t>Angebot noch nicht bestätigt</t>
  </si>
  <si>
    <t>26-0449</t>
  </si>
  <si>
    <t>Wochenplan Maschinenbelegung</t>
  </si>
  <si>
    <t>Belastung in Stunden pro Maschine und KW (Status offen + in Arbeit). Rot = über Auslastungsgrenze, Makro Wochenplan_aktualisieren verschiebt.</t>
  </si>
  <si>
    <t>Belastung (h)</t>
  </si>
  <si>
    <t>Kapazität (h)</t>
  </si>
  <si>
    <t>Auslastung</t>
  </si>
  <si>
    <t>Aufträge im Horizont</t>
  </si>
  <si>
    <t>Aufträge ausserhalb</t>
  </si>
  <si>
    <t>Rohmaterialbedarf und Bestellvorschlag</t>
  </si>
  <si>
    <t>Bedarf pro KW aus Aufträge (Spalten S-V). Bestellvorschlag rechts. Spalte AG = J wird exportiert (Makro Export_ERP).</t>
  </si>
  <si>
    <t>Summe Horizont</t>
  </si>
  <si>
    <t>Verfügbar</t>
  </si>
  <si>
    <t>Ø Woche</t>
  </si>
  <si>
    <t>Sicherheit</t>
  </si>
  <si>
    <t>kum 39</t>
  </si>
  <si>
    <t>kum 40</t>
  </si>
  <si>
    <t>kum 41</t>
  </si>
  <si>
    <t>kum 42</t>
  </si>
  <si>
    <t>kum 43</t>
  </si>
  <si>
    <t>kum 44</t>
  </si>
  <si>
    <t>kum 45</t>
  </si>
  <si>
    <t>kum 46</t>
  </si>
  <si>
    <t>Fehl-KW</t>
  </si>
  <si>
    <t>Lieferzeit</t>
  </si>
  <si>
    <t>Bestell-KW</t>
  </si>
  <si>
    <t>Bestellmenge</t>
  </si>
  <si>
    <t>Bestellen?</t>
  </si>
  <si>
    <t>Bestellwert</t>
  </si>
  <si>
    <t>Bedarfsdatum</t>
  </si>
  <si>
    <t>Total</t>
  </si>
  <si>
    <t>ARTNR</t>
  </si>
  <si>
    <t>LIEFNR</t>
  </si>
  <si>
    <t>MENGE</t>
  </si>
  <si>
    <t>EINHEIT</t>
  </si>
  <si>
    <t>BEDARFSDATUM</t>
  </si>
  <si>
    <t>KOSTENSTELLE</t>
  </si>
  <si>
    <t>BEMERKUNG</t>
  </si>
  <si>
    <t>Letzter Export:</t>
  </si>
  <si>
    <t>28.09.2026</t>
  </si>
  <si>
    <t>durch:</t>
  </si>
  <si>
    <t>12.10.2026</t>
  </si>
  <si>
    <t>Excel Bestellvorschlag KW39</t>
  </si>
  <si>
    <t>26.10.2026</t>
  </si>
  <si>
    <t>Wird vom Makro Export_ERP gefüllt und als CSV gespeichert (Semikolon, ANSI).</t>
  </si>
  <si>
    <t>02.11.2026</t>
  </si>
  <si>
    <t>05.10.2026</t>
  </si>
  <si>
    <t>Artikel</t>
  </si>
  <si>
    <t>Termin</t>
  </si>
  <si>
    <t>KW</t>
  </si>
  <si>
    <t>Std</t>
  </si>
  <si>
    <t>21-0112</t>
  </si>
  <si>
    <t>Rotag</t>
  </si>
  <si>
    <t>Welle 20x200</t>
  </si>
  <si>
    <t>x</t>
  </si>
  <si>
    <t>alte Version vor Umstellung auf Stückliste, nur zur Sicherheit behalten</t>
  </si>
  <si>
    <t>21-0113</t>
  </si>
  <si>
    <t>Wyss</t>
  </si>
  <si>
    <t>Halter</t>
  </si>
  <si>
    <t>21-0115</t>
  </si>
  <si>
    <t>Limmat</t>
  </si>
  <si>
    <t>Flansch DN50</t>
  </si>
  <si>
    <t>21-0118</t>
  </si>
  <si>
    <t>Aare</t>
  </si>
  <si>
    <t>Bolzen 30</t>
  </si>
  <si>
    <t>21-0119</t>
  </si>
  <si>
    <t>Steiner</t>
  </si>
  <si>
    <t>Deckel D12</t>
  </si>
  <si>
    <t>21-0121</t>
  </si>
  <si>
    <t>Ritzelwelle</t>
  </si>
  <si>
    <t>21-0122</t>
  </si>
  <si>
    <t>Jura</t>
  </si>
  <si>
    <t>Mutter M10</t>
  </si>
  <si>
    <t>test</t>
  </si>
  <si>
    <t>auto verschoben KW41 -&gt; KW42 (Makro 13.09.)</t>
  </si>
  <si>
    <t>Nachtrag zu 26-0416; auto verschoben KW43 -&gt; KW44 (Makro 13.09.)</t>
  </si>
  <si>
    <t>C:\Users\herzig.o\Documents\tmp\excel</t>
  </si>
  <si>
    <t>Excel Bestellvorschlag KW39 ÜBERFÄLLIG (Bestell-KW 37)</t>
  </si>
  <si>
    <t>Excel Bestellvorschlag KW39 ÜBERFÄLLIG (Bestell-KW 38)</t>
  </si>
  <si>
    <t>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</si>
</sst>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KW &quot;0"/>
    <numFmt numFmtId="165" formatCode="dd\.mm\.yyyy"/>
    <numFmt numFmtId="166" formatCode="0.0"/>
    <numFmt numFmtId="167" formatCode="0.0000"/>
    <numFmt numFmtId="168" formatCode="dd\.mm\.yyyy\ hh:mm"/>
  </numFmts>
  <fonts count="9" x14ac:knownFonts="1">
    <font>
      <sz val="11"/>
      <color theme="1"/>
      <name val="Calibri"/>
      <family val="2"/>
      <charset val="1"/>
    </font>
    <font>
      <b/>
      <sz val="16"/>
      <color rgb="FF1F3864"/>
      <name val="Arial"/>
      <charset val="1"/>
    </font>
    <font>
      <i/>
      <sz val="8"/>
      <color rgb="FF808080"/>
      <name val="Arial"/>
      <charset val="1"/>
    </font>
    <font>
      <b/>
      <sz val="10"/>
      <name val="Arial"/>
      <charset val="1"/>
    </font>
    <font>
      <b/>
      <sz val="12"/>
      <name val="Arial"/>
      <charset val="1"/>
    </font>
    <font>
      <b/>
      <sz val="14"/>
      <color rgb="FFC00000"/>
      <name val="Arial"/>
      <charset val="1"/>
    </font>
    <font>
      <sz val="10"/>
      <name val="Arial"/>
      <charset val="1"/>
    </font>
    <font>
      <b/>
      <sz val="14"/>
      <name val="Arial"/>
      <charset val="1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D9D9D9"/>
        <bgColor rgb="FFDCE6F1"/>
      </patternFill>
    </fill>
    <fill>
      <patternFill patternType="solid">
        <fgColor rgb="FFBFBFBF"/>
        <bgColor rgb="FFA6A6A6"/>
      </patternFill>
    </fill>
    <fill>
      <patternFill patternType="solid">
        <fgColor rgb="FFFFFFCC"/>
        <bgColor rgb="FFFFFFFF"/>
      </patternFill>
    </fill>
    <fill>
      <patternFill patternType="solid">
        <fgColor rgb="FFDCE6F1"/>
        <bgColor rgb="FFE2EFDA"/>
      </patternFill>
    </fill>
  </fills>
  <borders count="2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6" fillId="0" borderId="1" xfId="0" applyFont="1" applyBorder="1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164" fontId="5" fillId="0" borderId="0" xfId="0" applyNumberFormat="1" applyFont="1"/>
    <xf numFmtId="165" fontId="6" fillId="0" borderId="0" xfId="0" applyNumberFormat="1" applyFont="1"/>
    <xf numFmtId="1" fontId="3" fillId="0" borderId="1" xfId="0" applyNumberFormat="1" applyFont="1" applyBorder="1"/>
    <xf numFmtId="4" fontId="3" fillId="0" borderId="1" xfId="0" applyNumberFormat="1" applyFont="1" applyBorder="1"/>
    <xf numFmtId="0" fontId="3" fillId="0" borderId="1" xfId="0" applyFont="1" applyBorder="1"/>
    <xf numFmtId="9" fontId="3" fillId="0" borderId="1" xfId="0" applyNumberFormat="1" applyFont="1" applyBorder="1"/>
    <xf numFmtId="0" fontId="6" fillId="0" borderId="0" xfId="0" applyFont="1"/>
    <xf numFmtId="0" fontId="7" fillId="0" borderId="0" xfId="0" applyFont="1"/>
    <xf numFmtId="1" fontId="6" fillId="4" borderId="1" xfId="0" applyNumberFormat="1" applyFont="1" applyFill="1" applyBorder="1"/>
    <xf numFmtId="165" fontId="6" fillId="4" borderId="1" xfId="0" applyNumberFormat="1" applyFont="1" applyFill="1" applyBorder="1"/>
    <xf numFmtId="9" fontId="6" fillId="4" borderId="1" xfId="0" applyNumberFormat="1" applyFont="1" applyFill="1" applyBorder="1"/>
    <xf numFmtId="166" fontId="6" fillId="4" borderId="1" xfId="0" applyNumberFormat="1" applyFont="1" applyFill="1" applyBorder="1"/>
    <xf numFmtId="0" fontId="6" fillId="4" borderId="1" xfId="0" applyFont="1" applyFill="1" applyBorder="1"/>
    <xf numFmtId="0" fontId="3" fillId="2" borderId="1" xfId="0" applyFont="1" applyFill="1" applyBorder="1" applyAlignment="1">
      <alignment vertical="center" wrapText="1"/>
    </xf>
    <xf numFmtId="4" fontId="6" fillId="0" borderId="1" xfId="0" applyNumberFormat="1" applyFont="1" applyBorder="1"/>
    <xf numFmtId="166" fontId="6" fillId="0" borderId="1" xfId="0" applyNumberFormat="1" applyFont="1" applyBorder="1"/>
    <xf numFmtId="167" fontId="6" fillId="0" borderId="1" xfId="0" applyNumberFormat="1" applyFont="1" applyBorder="1"/>
    <xf numFmtId="9" fontId="6" fillId="0" borderId="1" xfId="0" applyNumberFormat="1" applyFont="1" applyBorder="1"/>
    <xf numFmtId="1" fontId="6" fillId="0" borderId="1" xfId="0" applyNumberFormat="1" applyFont="1" applyBorder="1"/>
    <xf numFmtId="3" fontId="6" fillId="4" borderId="1" xfId="0" applyNumberFormat="1" applyFont="1" applyFill="1" applyBorder="1"/>
    <xf numFmtId="164" fontId="3" fillId="2" borderId="1" xfId="0" applyNumberFormat="1" applyFont="1" applyFill="1" applyBorder="1" applyAlignment="1">
      <alignment horizontal="center"/>
    </xf>
    <xf numFmtId="164" fontId="3" fillId="5" borderId="1" xfId="0" applyNumberFormat="1" applyFont="1" applyFill="1" applyBorder="1" applyAlignment="1">
      <alignment vertical="center" wrapText="1"/>
    </xf>
    <xf numFmtId="0" fontId="3" fillId="5" borderId="1" xfId="0" applyFont="1" applyFill="1" applyBorder="1" applyAlignment="1">
      <alignment vertical="center" wrapText="1"/>
    </xf>
    <xf numFmtId="165" fontId="6" fillId="0" borderId="1" xfId="0" applyNumberFormat="1" applyFont="1" applyBorder="1"/>
    <xf numFmtId="168" fontId="6" fillId="0" borderId="0" xfId="0" applyNumberFormat="1" applyFont="1"/>
    <xf numFmtId="0" fontId="6" fillId="0" borderId="1" xfId="0" quotePrefix="1" applyFont="1" applyBorder="1"/>
    <xf numFmtId="0" fontId="3" fillId="2" borderId="1" xfId="0" applyFont="1" applyFill="1" applyBorder="1"/>
    <xf numFmtId="0" fontId="6" fillId="0" borderId="1" xfId="0" applyFont="1" applyBorder="1"/>
    <xf numFmtId="0" fontId="3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font>
        <b/>
        <sz val="10"/>
        <color rgb="FFC00000"/>
        <name val="Arial"/>
        <charset val="1"/>
      </font>
    </dxf>
    <dxf>
      <font>
        <b/>
        <sz val="10"/>
        <name val="Arial"/>
        <charset val="1"/>
      </font>
      <fill>
        <patternFill>
          <bgColor rgb="FFFFC7CE"/>
        </patternFill>
      </fill>
    </dxf>
    <dxf>
      <font>
        <sz val="10"/>
        <color rgb="FFBFBFBF"/>
        <name val="Arial"/>
        <charset val="1"/>
      </font>
    </dxf>
    <dxf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ill>
        <patternFill>
          <bgColor rgb="FFE2EFDA"/>
        </patternFill>
      </fill>
    </dxf>
    <dxf>
      <fill>
        <patternFill>
          <bgColor rgb="FFFFC7CE"/>
        </patternFill>
      </fill>
    </dxf>
    <dxf>
      <font>
        <b/>
        <sz val="10"/>
        <color rgb="FF0000FF"/>
        <name val="Arial"/>
        <charset val="1"/>
      </font>
    </dxf>
    <dxf>
      <font>
        <i/>
        <sz val="10"/>
        <color rgb="FFA6A6A6"/>
        <name val="Arial"/>
        <charset val="1"/>
      </font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DCE6F1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EFDA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zoomScaleNormal="100" workbookViewId="0">
      <selection activeCell="F12" sqref="F12"/>
    </sheetView>
  </sheetViews>
  <sheetFormatPr defaultColWidth="8.6640625" defaultRowHeight="14.4" x14ac:dyDescent="0.3"/>
  <cols>
    <col min="1" max="1" width="30" customWidth="1"/>
    <col min="2" max="2" width="26" customWidth="1"/>
    <col min="3" max="3" width="14" customWidth="1"/>
    <col min="4" max="4" width="3" customWidth="1"/>
    <col min="5" max="6" width="14" customWidth="1"/>
    <col min="7" max="7" width="60" customWidth="1"/>
  </cols>
  <sheetData>
    <row r="1" spans="1:7" ht="19.5" customHeight="1" x14ac:dyDescent="0.4">
      <c r="A1" s="2" t="s">
        <v>0</v>
      </c>
      <c r="E1" s="3" t="s">
        <v>1</v>
      </c>
      <c r="F1" s="4" t="s">
        <v>2</v>
      </c>
    </row>
    <row r="2" spans="1:7" ht="17.25" customHeight="1" x14ac:dyDescent="0.3">
      <c r="A2" s="5" t="s">
        <v>3</v>
      </c>
      <c r="E2" s="3" t="s">
        <v>4</v>
      </c>
      <c r="F2" s="6">
        <f>Parameter!B2</f>
        <v>39</v>
      </c>
      <c r="G2" s="7">
        <f>Parameter!B4</f>
        <v>46286</v>
      </c>
    </row>
    <row r="4" spans="1:7" ht="15" customHeight="1" x14ac:dyDescent="0.3">
      <c r="A4" s="32" t="s">
        <v>5</v>
      </c>
      <c r="B4" s="32"/>
      <c r="C4" s="32"/>
      <c r="E4" s="32" t="s">
        <v>6</v>
      </c>
      <c r="F4" s="32"/>
      <c r="G4" s="32"/>
    </row>
    <row r="5" spans="1:7" ht="21.75" customHeight="1" x14ac:dyDescent="0.3">
      <c r="A5" s="33" t="s">
        <v>7</v>
      </c>
      <c r="B5" s="33"/>
      <c r="C5" s="8">
        <f>COUNTIFS(Aufträge!$Q$4:$Q$500,"&lt;&gt;erledigt",Aufträge!$A$4:$A$500,"&lt;&gt;")</f>
        <v>47</v>
      </c>
      <c r="E5" s="34" t="s">
        <v>8</v>
      </c>
      <c r="F5" s="34"/>
      <c r="G5" s="3" t="s">
        <v>9</v>
      </c>
    </row>
    <row r="6" spans="1:7" ht="15" customHeight="1" x14ac:dyDescent="0.3">
      <c r="A6" s="33" t="s">
        <v>10</v>
      </c>
      <c r="B6" s="33"/>
      <c r="C6" s="8">
        <f>COUNTIF(Aufträge!$Q$4:$Q$500,"in Arbeit")</f>
        <v>2</v>
      </c>
    </row>
    <row r="7" spans="1:7" ht="21.75" customHeight="1" x14ac:dyDescent="0.3">
      <c r="A7" s="33" t="s">
        <v>11</v>
      </c>
      <c r="B7" s="33"/>
      <c r="C7" s="8">
        <f>COUNTIFS(Aufträge!$Q$4:$Q$500,"&lt;&gt;erledigt",Aufträge!$A$4:$A$500,"&lt;&gt;",Aufträge!$M$4:$M$500,"&lt;"&amp;Parameter!$B$2)</f>
        <v>1</v>
      </c>
      <c r="E7" s="34" t="s">
        <v>12</v>
      </c>
      <c r="F7" s="34"/>
      <c r="G7" s="3" t="s">
        <v>13</v>
      </c>
    </row>
    <row r="8" spans="1:7" ht="15" customHeight="1" x14ac:dyDescent="0.3">
      <c r="A8" s="33" t="s">
        <v>14</v>
      </c>
      <c r="B8" s="33"/>
      <c r="C8" s="8">
        <f>COUNTIFS(Aufträge!$Q$4:$Q$500,"&lt;&gt;erledigt",Aufträge!$P$4:$P$500,Parameter!$B$2)</f>
        <v>7</v>
      </c>
    </row>
    <row r="9" spans="1:7" ht="21.75" customHeight="1" x14ac:dyDescent="0.3">
      <c r="A9" s="33" t="s">
        <v>15</v>
      </c>
      <c r="B9" s="33"/>
      <c r="C9" s="8">
        <f>Wochenplan!B25</f>
        <v>2</v>
      </c>
      <c r="E9" s="34" t="s">
        <v>16</v>
      </c>
      <c r="F9" s="34"/>
      <c r="G9" s="3" t="s">
        <v>17</v>
      </c>
    </row>
    <row r="10" spans="1:7" ht="15" customHeight="1" x14ac:dyDescent="0.3">
      <c r="A10" s="33" t="s">
        <v>18</v>
      </c>
      <c r="B10" s="33"/>
      <c r="C10" s="8">
        <f>Bedarf!AG20</f>
        <v>5</v>
      </c>
    </row>
    <row r="11" spans="1:7" ht="15" customHeight="1" x14ac:dyDescent="0.3">
      <c r="A11" s="33" t="s">
        <v>19</v>
      </c>
      <c r="B11" s="33"/>
      <c r="C11" s="9">
        <f>Bedarf!AH20</f>
        <v>33773</v>
      </c>
    </row>
    <row r="12" spans="1:7" ht="15" customHeight="1" x14ac:dyDescent="0.3">
      <c r="A12" s="33" t="s">
        <v>20</v>
      </c>
      <c r="B12" s="33"/>
      <c r="C12" s="8">
        <f>COUNTIFS(Bedarf!$AD$4:$AD$18,"&lt;"&amp;Parameter!$B$2,Bedarf!$AG$4:$AG$18,"J")</f>
        <v>2</v>
      </c>
    </row>
    <row r="14" spans="1:7" ht="15" customHeight="1" x14ac:dyDescent="0.3">
      <c r="A14" s="32" t="s">
        <v>21</v>
      </c>
      <c r="B14" s="32"/>
      <c r="C14" s="32"/>
      <c r="E14" s="32" t="s">
        <v>22</v>
      </c>
      <c r="F14" s="32"/>
      <c r="G14" s="32"/>
    </row>
    <row r="15" spans="1:7" ht="15" customHeight="1" x14ac:dyDescent="0.3">
      <c r="A15" s="10" t="s">
        <v>23</v>
      </c>
      <c r="B15" s="1" t="str">
        <f>Kapazität!B2</f>
        <v>DMG CTX beta 800 (Drehen)</v>
      </c>
      <c r="C15" s="11">
        <f>INDEX(Wochenplan!$B$18:$I$18,MATCH(Parameter!$B$2,Wochenplan!$B$17:$I$17,0))</f>
        <v>0.58823529411764708</v>
      </c>
      <c r="E15" s="12" t="s">
        <v>24</v>
      </c>
    </row>
    <row r="16" spans="1:7" ht="15" customHeight="1" x14ac:dyDescent="0.3">
      <c r="A16" s="10" t="s">
        <v>25</v>
      </c>
      <c r="B16" s="1" t="str">
        <f>Kapazität!B3</f>
        <v>Mazak QT-250 (Drehen)</v>
      </c>
      <c r="C16" s="11">
        <f>INDEX(Wochenplan!$B$19:$I$19,MATCH(Parameter!$B$2,Wochenplan!$B$17:$I$17,0))</f>
        <v>0.375</v>
      </c>
      <c r="E16" s="12" t="s">
        <v>26</v>
      </c>
    </row>
    <row r="17" spans="1:5" ht="15" customHeight="1" x14ac:dyDescent="0.3">
      <c r="A17" s="10" t="s">
        <v>27</v>
      </c>
      <c r="B17" s="1" t="str">
        <f>Kapazität!B4</f>
        <v>Hermle C 22 (5-Achs)</v>
      </c>
      <c r="C17" s="11">
        <f>INDEX(Wochenplan!$B$20:$I$20,MATCH(Parameter!$B$2,Wochenplan!$B$17:$I$17,0))</f>
        <v>0.74739583333333326</v>
      </c>
      <c r="E17" s="12" t="s">
        <v>28</v>
      </c>
    </row>
    <row r="18" spans="1:5" ht="15" customHeight="1" x14ac:dyDescent="0.3">
      <c r="A18" s="10" t="s">
        <v>29</v>
      </c>
      <c r="B18" s="1" t="str">
        <f>Kapazität!B5</f>
        <v>Fräszentrum Haas VF-3</v>
      </c>
      <c r="C18" s="11">
        <f>INDEX(Wochenplan!$B$21:$I$21,MATCH(Parameter!$B$2,Wochenplan!$B$17:$I$17,0))</f>
        <v>0.29189814814814813</v>
      </c>
      <c r="E18" s="12" t="s">
        <v>30</v>
      </c>
    </row>
    <row r="19" spans="1:5" ht="15" customHeight="1" x14ac:dyDescent="0.3">
      <c r="E19" s="12" t="s">
        <v>31</v>
      </c>
    </row>
    <row r="20" spans="1:5" ht="15" customHeight="1" x14ac:dyDescent="0.3">
      <c r="E20" s="12" t="s">
        <v>32</v>
      </c>
    </row>
    <row r="22" spans="1:5" ht="15" customHeight="1" x14ac:dyDescent="0.3">
      <c r="E22" s="3" t="s">
        <v>33</v>
      </c>
    </row>
    <row r="23" spans="1:5" ht="15" customHeight="1" x14ac:dyDescent="0.3">
      <c r="E23" s="3" t="s">
        <v>34</v>
      </c>
    </row>
  </sheetData>
  <mergeCells count="15">
    <mergeCell ref="A10:B10"/>
    <mergeCell ref="A11:B11"/>
    <mergeCell ref="A12:B12"/>
    <mergeCell ref="A14:C14"/>
    <mergeCell ref="E14:G14"/>
    <mergeCell ref="A7:B7"/>
    <mergeCell ref="E7:F7"/>
    <mergeCell ref="A8:B8"/>
    <mergeCell ref="A9:B9"/>
    <mergeCell ref="E9:F9"/>
    <mergeCell ref="A4:C4"/>
    <mergeCell ref="E4:G4"/>
    <mergeCell ref="A5:B5"/>
    <mergeCell ref="E5:F5"/>
    <mergeCell ref="A6:B6"/>
  </mergeCells>
  <pageMargins left="0.75" right="0.75" top="1" bottom="1" header="0.511811023622047" footer="0.511811023622047"/>
  <pageSetup paperSize="9" orientation="portrait" horizontalDpi="300" verticalDpi="30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00000000-000E-0000-0000-000002000000}">
            <xm:f>Parameter!$B$6</xm:f>
            <x14:dxf>
              <font>
                <b/>
                <sz val="10"/>
                <color rgb="FF9C0006"/>
                <name val="Arial"/>
                <charset val="1"/>
              </font>
              <fill>
                <patternFill>
                  <bgColor rgb="FFFFC7CE"/>
                </patternFill>
              </fill>
            </x14:dxf>
          </x14:cfRule>
          <xm:sqref>C15:C18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6"/>
  <sheetViews>
    <sheetView zoomScaleNormal="100" workbookViewId="0">
      <selection activeCell="C7" sqref="C7"/>
    </sheetView>
  </sheetViews>
  <sheetFormatPr defaultColWidth="8.6640625" defaultRowHeight="14.4" x14ac:dyDescent="0.3"/>
  <cols>
    <col min="1" max="1" width="30" customWidth="1"/>
    <col min="2" max="2" width="34" customWidth="1"/>
    <col min="3" max="3" width="40" customWidth="1"/>
  </cols>
  <sheetData>
    <row r="1" spans="1:2" ht="17.25" customHeight="1" x14ac:dyDescent="0.3">
      <c r="A1" s="13" t="s">
        <v>35</v>
      </c>
    </row>
    <row r="2" spans="1:2" ht="15" customHeight="1" x14ac:dyDescent="0.3">
      <c r="A2" s="10" t="s">
        <v>4</v>
      </c>
      <c r="B2" s="14">
        <v>39</v>
      </c>
    </row>
    <row r="3" spans="1:2" ht="15" customHeight="1" x14ac:dyDescent="0.3">
      <c r="A3" s="10" t="s">
        <v>36</v>
      </c>
      <c r="B3" s="14">
        <v>2026</v>
      </c>
    </row>
    <row r="4" spans="1:2" ht="15" customHeight="1" x14ac:dyDescent="0.3">
      <c r="A4" s="10" t="s">
        <v>37</v>
      </c>
      <c r="B4" s="15">
        <v>46286</v>
      </c>
    </row>
    <row r="5" spans="1:2" ht="15" customHeight="1" x14ac:dyDescent="0.3">
      <c r="A5" s="10" t="s">
        <v>38</v>
      </c>
      <c r="B5" s="16">
        <v>0.1</v>
      </c>
    </row>
    <row r="6" spans="1:2" ht="15" customHeight="1" x14ac:dyDescent="0.3">
      <c r="A6" s="10" t="s">
        <v>39</v>
      </c>
      <c r="B6" s="16">
        <v>0.9</v>
      </c>
    </row>
    <row r="7" spans="1:2" ht="15" customHeight="1" x14ac:dyDescent="0.3">
      <c r="A7" s="10" t="s">
        <v>40</v>
      </c>
      <c r="B7" s="14">
        <v>40</v>
      </c>
    </row>
    <row r="8" spans="1:2" ht="15" customHeight="1" x14ac:dyDescent="0.3">
      <c r="A8" s="10" t="s">
        <v>41</v>
      </c>
      <c r="B8" s="14">
        <v>500</v>
      </c>
    </row>
    <row r="9" spans="1:2" ht="15" customHeight="1" x14ac:dyDescent="0.3">
      <c r="A9" s="10" t="s">
        <v>42</v>
      </c>
      <c r="B9" s="14">
        <v>2</v>
      </c>
    </row>
    <row r="10" spans="1:2" ht="15" customHeight="1" x14ac:dyDescent="0.3">
      <c r="A10" s="10" t="s">
        <v>43</v>
      </c>
      <c r="B10" s="17">
        <v>8</v>
      </c>
    </row>
    <row r="11" spans="1:2" ht="15" customHeight="1" x14ac:dyDescent="0.3">
      <c r="A11" s="10" t="s">
        <v>44</v>
      </c>
      <c r="B11" s="14">
        <v>1</v>
      </c>
    </row>
    <row r="12" spans="1:2" ht="15" customHeight="1" x14ac:dyDescent="0.3">
      <c r="A12" s="10" t="s">
        <v>45</v>
      </c>
      <c r="B12" s="14">
        <v>5</v>
      </c>
    </row>
    <row r="13" spans="1:2" ht="15" customHeight="1" x14ac:dyDescent="0.3">
      <c r="A13" s="10" t="s">
        <v>46</v>
      </c>
      <c r="B13" s="18" t="s">
        <v>435</v>
      </c>
    </row>
    <row r="14" spans="1:2" ht="15" customHeight="1" x14ac:dyDescent="0.3">
      <c r="A14" s="10" t="s">
        <v>47</v>
      </c>
      <c r="B14" s="14">
        <v>4100</v>
      </c>
    </row>
    <row r="15" spans="1:2" ht="15" customHeight="1" x14ac:dyDescent="0.3">
      <c r="A15" s="10" t="s">
        <v>48</v>
      </c>
      <c r="B15" s="14">
        <v>8</v>
      </c>
    </row>
    <row r="16" spans="1:2" ht="15" customHeight="1" x14ac:dyDescent="0.3">
      <c r="A16" s="10" t="s">
        <v>49</v>
      </c>
      <c r="B16" s="14">
        <v>16</v>
      </c>
    </row>
    <row r="17" spans="1:3" ht="15" customHeight="1" x14ac:dyDescent="0.3">
      <c r="A17" s="10" t="s">
        <v>50</v>
      </c>
      <c r="B17" s="14">
        <v>20</v>
      </c>
      <c r="C17" s="3" t="s">
        <v>51</v>
      </c>
    </row>
    <row r="18" spans="1:3" ht="15" customHeight="1" x14ac:dyDescent="0.3">
      <c r="A18" s="10" t="s">
        <v>52</v>
      </c>
      <c r="B18" s="14">
        <v>2</v>
      </c>
      <c r="C18" s="3" t="s">
        <v>53</v>
      </c>
    </row>
    <row r="21" spans="1:3" ht="15" customHeight="1" x14ac:dyDescent="0.3">
      <c r="A21" s="4" t="s">
        <v>54</v>
      </c>
    </row>
    <row r="22" spans="1:3" ht="15" customHeight="1" x14ac:dyDescent="0.3">
      <c r="A22" s="12" t="s">
        <v>55</v>
      </c>
    </row>
    <row r="23" spans="1:3" ht="15" customHeight="1" x14ac:dyDescent="0.3">
      <c r="A23" s="12" t="s">
        <v>56</v>
      </c>
    </row>
    <row r="24" spans="1:3" ht="15" customHeight="1" x14ac:dyDescent="0.3">
      <c r="A24" s="12" t="s">
        <v>57</v>
      </c>
    </row>
    <row r="25" spans="1:3" ht="15" customHeight="1" x14ac:dyDescent="0.3">
      <c r="A25" s="12" t="s">
        <v>58</v>
      </c>
    </row>
    <row r="26" spans="1:3" ht="15" customHeight="1" x14ac:dyDescent="0.3">
      <c r="A26" s="12" t="s">
        <v>59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6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x14ac:dyDescent="0.3"/>
  <cols>
    <col min="1" max="1" width="9" customWidth="1"/>
    <col min="2" max="2" width="28" customWidth="1"/>
    <col min="3" max="4" width="14" customWidth="1"/>
    <col min="5" max="5" width="11" customWidth="1"/>
    <col min="6" max="6" width="10" customWidth="1"/>
    <col min="7" max="7" width="12" customWidth="1"/>
    <col min="8" max="8" width="36" customWidth="1"/>
  </cols>
  <sheetData>
    <row r="1" spans="1:8" ht="15" customHeight="1" x14ac:dyDescent="0.3">
      <c r="A1" s="19" t="s">
        <v>60</v>
      </c>
      <c r="B1" s="19" t="s">
        <v>61</v>
      </c>
      <c r="C1" s="19" t="s">
        <v>62</v>
      </c>
      <c r="D1" s="19" t="s">
        <v>63</v>
      </c>
      <c r="E1" s="19" t="s">
        <v>64</v>
      </c>
      <c r="F1" s="19" t="s">
        <v>65</v>
      </c>
      <c r="G1" s="19" t="s">
        <v>66</v>
      </c>
      <c r="H1" s="19" t="s">
        <v>67</v>
      </c>
    </row>
    <row r="2" spans="1:8" ht="15" customHeight="1" x14ac:dyDescent="0.3">
      <c r="A2" s="1" t="s">
        <v>68</v>
      </c>
      <c r="B2" s="1" t="s">
        <v>69</v>
      </c>
      <c r="C2" s="1" t="s">
        <v>70</v>
      </c>
      <c r="D2" s="1">
        <v>2</v>
      </c>
      <c r="E2" s="1" t="s">
        <v>71</v>
      </c>
      <c r="F2" s="1">
        <v>70011</v>
      </c>
      <c r="G2" s="1" t="s">
        <v>72</v>
      </c>
      <c r="H2" s="1"/>
    </row>
    <row r="3" spans="1:8" ht="15" customHeight="1" x14ac:dyDescent="0.3">
      <c r="A3" s="1" t="s">
        <v>73</v>
      </c>
      <c r="B3" s="1" t="s">
        <v>74</v>
      </c>
      <c r="C3" s="1" t="s">
        <v>75</v>
      </c>
      <c r="D3" s="1">
        <v>1</v>
      </c>
      <c r="E3" s="1" t="s">
        <v>71</v>
      </c>
      <c r="F3" s="1">
        <v>70023</v>
      </c>
      <c r="G3" s="1" t="s">
        <v>76</v>
      </c>
      <c r="H3" s="1" t="s">
        <v>77</v>
      </c>
    </row>
    <row r="4" spans="1:8" ht="15" customHeight="1" x14ac:dyDescent="0.3">
      <c r="A4" s="1" t="s">
        <v>78</v>
      </c>
      <c r="B4" s="1" t="s">
        <v>79</v>
      </c>
      <c r="C4" s="1" t="s">
        <v>80</v>
      </c>
      <c r="D4" s="1">
        <v>3</v>
      </c>
      <c r="E4" s="1" t="s">
        <v>81</v>
      </c>
      <c r="F4" s="1">
        <v>70045</v>
      </c>
      <c r="G4" s="1" t="s">
        <v>82</v>
      </c>
      <c r="H4" s="1" t="s">
        <v>83</v>
      </c>
    </row>
    <row r="5" spans="1:8" ht="15" customHeight="1" x14ac:dyDescent="0.3">
      <c r="A5" s="1" t="s">
        <v>84</v>
      </c>
      <c r="B5" s="1" t="s">
        <v>85</v>
      </c>
      <c r="C5" s="1" t="s">
        <v>86</v>
      </c>
      <c r="D5" s="1">
        <v>5</v>
      </c>
      <c r="E5" s="1" t="s">
        <v>87</v>
      </c>
      <c r="F5" s="1">
        <v>70058</v>
      </c>
      <c r="G5" s="1" t="s">
        <v>88</v>
      </c>
      <c r="H5" s="1" t="s">
        <v>89</v>
      </c>
    </row>
    <row r="6" spans="1:8" ht="15" customHeight="1" x14ac:dyDescent="0.3">
      <c r="A6" s="1" t="s">
        <v>90</v>
      </c>
      <c r="B6" s="1" t="s">
        <v>91</v>
      </c>
      <c r="C6" s="1" t="s">
        <v>92</v>
      </c>
      <c r="D6" s="1">
        <v>2</v>
      </c>
      <c r="E6" s="1" t="s">
        <v>81</v>
      </c>
      <c r="F6" s="1">
        <v>70062</v>
      </c>
      <c r="G6" s="1" t="s">
        <v>93</v>
      </c>
      <c r="H6" s="1"/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6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x14ac:dyDescent="0.3"/>
  <cols>
    <col min="1" max="1" width="9" customWidth="1"/>
    <col min="2" max="2" width="38" customWidth="1"/>
    <col min="3" max="3" width="9" customWidth="1"/>
    <col min="4" max="4" width="11" customWidth="1"/>
    <col min="5" max="5" width="8" customWidth="1"/>
    <col min="6" max="6" width="12" customWidth="1"/>
    <col min="7" max="7" width="9" customWidth="1"/>
    <col min="8" max="8" width="13" customWidth="1"/>
    <col min="9" max="9" width="10" customWidth="1"/>
    <col min="10" max="10" width="12" customWidth="1"/>
  </cols>
  <sheetData>
    <row r="1" spans="1:10" ht="23.25" customHeight="1" x14ac:dyDescent="0.3">
      <c r="A1" s="19" t="s">
        <v>94</v>
      </c>
      <c r="B1" s="19" t="s">
        <v>95</v>
      </c>
      <c r="C1" s="19" t="s">
        <v>96</v>
      </c>
      <c r="D1" s="19" t="s">
        <v>97</v>
      </c>
      <c r="E1" s="19" t="s">
        <v>98</v>
      </c>
      <c r="F1" s="19" t="s">
        <v>99</v>
      </c>
      <c r="G1" s="19" t="s">
        <v>100</v>
      </c>
      <c r="H1" s="19" t="s">
        <v>101</v>
      </c>
      <c r="I1" s="19" t="s">
        <v>65</v>
      </c>
      <c r="J1" s="19" t="s">
        <v>102</v>
      </c>
    </row>
    <row r="2" spans="1:10" ht="15" customHeight="1" x14ac:dyDescent="0.3">
      <c r="A2" s="1" t="s">
        <v>103</v>
      </c>
      <c r="B2" s="1" t="s">
        <v>104</v>
      </c>
      <c r="C2" s="1" t="s">
        <v>105</v>
      </c>
      <c r="D2" s="1" t="s">
        <v>68</v>
      </c>
      <c r="E2" s="18">
        <v>24</v>
      </c>
      <c r="F2" s="18">
        <v>0</v>
      </c>
      <c r="G2" s="1">
        <v>10</v>
      </c>
      <c r="H2" s="20">
        <v>68</v>
      </c>
      <c r="I2" s="1" t="s">
        <v>106</v>
      </c>
      <c r="J2" s="1" t="s">
        <v>107</v>
      </c>
    </row>
    <row r="3" spans="1:10" ht="15" customHeight="1" x14ac:dyDescent="0.3">
      <c r="A3" s="1" t="s">
        <v>108</v>
      </c>
      <c r="B3" s="1" t="s">
        <v>109</v>
      </c>
      <c r="C3" s="1" t="s">
        <v>105</v>
      </c>
      <c r="D3" s="1" t="s">
        <v>68</v>
      </c>
      <c r="E3" s="18">
        <v>6</v>
      </c>
      <c r="F3" s="18">
        <v>5</v>
      </c>
      <c r="G3" s="1">
        <v>5</v>
      </c>
      <c r="H3" s="20">
        <v>265</v>
      </c>
      <c r="I3" s="1" t="s">
        <v>110</v>
      </c>
      <c r="J3" s="1" t="s">
        <v>111</v>
      </c>
    </row>
    <row r="4" spans="1:10" ht="15" customHeight="1" x14ac:dyDescent="0.3">
      <c r="A4" s="1" t="s">
        <v>112</v>
      </c>
      <c r="B4" s="1" t="s">
        <v>113</v>
      </c>
      <c r="C4" s="1" t="s">
        <v>105</v>
      </c>
      <c r="D4" s="1" t="s">
        <v>73</v>
      </c>
      <c r="E4" s="18">
        <v>31</v>
      </c>
      <c r="F4" s="18">
        <v>0</v>
      </c>
      <c r="G4" s="1">
        <v>10</v>
      </c>
      <c r="H4" s="20">
        <v>42</v>
      </c>
      <c r="I4" s="1" t="s">
        <v>114</v>
      </c>
      <c r="J4" s="1" t="s">
        <v>115</v>
      </c>
    </row>
    <row r="5" spans="1:10" ht="15" customHeight="1" x14ac:dyDescent="0.3">
      <c r="A5" s="1" t="s">
        <v>116</v>
      </c>
      <c r="B5" s="1" t="s">
        <v>117</v>
      </c>
      <c r="C5" s="1" t="s">
        <v>105</v>
      </c>
      <c r="D5" s="1" t="s">
        <v>73</v>
      </c>
      <c r="E5" s="18">
        <v>12</v>
      </c>
      <c r="F5" s="18">
        <v>0</v>
      </c>
      <c r="G5" s="1">
        <v>5</v>
      </c>
      <c r="H5" s="20">
        <v>168</v>
      </c>
      <c r="I5" s="1" t="s">
        <v>118</v>
      </c>
      <c r="J5" s="1" t="s">
        <v>119</v>
      </c>
    </row>
    <row r="6" spans="1:10" ht="15" customHeight="1" x14ac:dyDescent="0.3">
      <c r="A6" s="1" t="s">
        <v>120</v>
      </c>
      <c r="B6" s="1" t="s">
        <v>121</v>
      </c>
      <c r="C6" s="1" t="s">
        <v>105</v>
      </c>
      <c r="D6" s="1" t="s">
        <v>78</v>
      </c>
      <c r="E6" s="18">
        <v>14</v>
      </c>
      <c r="F6" s="18">
        <v>10</v>
      </c>
      <c r="G6" s="1">
        <v>10</v>
      </c>
      <c r="H6" s="20">
        <v>96</v>
      </c>
      <c r="I6" s="1" t="s">
        <v>122</v>
      </c>
      <c r="J6" s="1" t="s">
        <v>123</v>
      </c>
    </row>
    <row r="7" spans="1:10" ht="15" customHeight="1" x14ac:dyDescent="0.3">
      <c r="A7" s="1" t="s">
        <v>124</v>
      </c>
      <c r="B7" s="1" t="s">
        <v>125</v>
      </c>
      <c r="C7" s="1" t="s">
        <v>105</v>
      </c>
      <c r="D7" s="1" t="s">
        <v>78</v>
      </c>
      <c r="E7" s="18">
        <v>5</v>
      </c>
      <c r="F7" s="18">
        <v>0</v>
      </c>
      <c r="G7" s="1">
        <v>5</v>
      </c>
      <c r="H7" s="20">
        <v>245</v>
      </c>
      <c r="I7" s="1" t="s">
        <v>126</v>
      </c>
      <c r="J7" s="1" t="s">
        <v>127</v>
      </c>
    </row>
    <row r="8" spans="1:10" ht="15" customHeight="1" x14ac:dyDescent="0.3">
      <c r="A8" s="1" t="s">
        <v>128</v>
      </c>
      <c r="B8" s="1" t="s">
        <v>129</v>
      </c>
      <c r="C8" s="1" t="s">
        <v>130</v>
      </c>
      <c r="D8" s="1" t="s">
        <v>78</v>
      </c>
      <c r="E8" s="18">
        <v>20</v>
      </c>
      <c r="F8" s="18">
        <v>0</v>
      </c>
      <c r="G8" s="1">
        <v>4</v>
      </c>
      <c r="H8" s="20">
        <v>310</v>
      </c>
      <c r="I8" s="1" t="s">
        <v>131</v>
      </c>
      <c r="J8" s="1" t="s">
        <v>132</v>
      </c>
    </row>
    <row r="9" spans="1:10" ht="15" customHeight="1" x14ac:dyDescent="0.3">
      <c r="A9" s="1" t="s">
        <v>133</v>
      </c>
      <c r="B9" s="1" t="s">
        <v>134</v>
      </c>
      <c r="C9" s="1" t="s">
        <v>130</v>
      </c>
      <c r="D9" s="1" t="s">
        <v>78</v>
      </c>
      <c r="E9" s="18">
        <v>10</v>
      </c>
      <c r="F9" s="18">
        <v>0</v>
      </c>
      <c r="G9" s="1">
        <v>2</v>
      </c>
      <c r="H9" s="20">
        <v>620</v>
      </c>
      <c r="I9" s="1" t="s">
        <v>135</v>
      </c>
      <c r="J9" s="1" t="s">
        <v>136</v>
      </c>
    </row>
    <row r="10" spans="1:10" ht="15" customHeight="1" x14ac:dyDescent="0.3">
      <c r="A10" s="1" t="s">
        <v>137</v>
      </c>
      <c r="B10" s="1" t="s">
        <v>138</v>
      </c>
      <c r="C10" s="1" t="s">
        <v>139</v>
      </c>
      <c r="D10" s="1" t="s">
        <v>84</v>
      </c>
      <c r="E10" s="18">
        <v>90</v>
      </c>
      <c r="F10" s="18">
        <v>0</v>
      </c>
      <c r="G10" s="1">
        <v>20</v>
      </c>
      <c r="H10" s="20">
        <v>38.5</v>
      </c>
      <c r="I10" s="1" t="s">
        <v>140</v>
      </c>
      <c r="J10" s="1" t="s">
        <v>141</v>
      </c>
    </row>
    <row r="11" spans="1:10" ht="15" customHeight="1" x14ac:dyDescent="0.3">
      <c r="A11" s="1" t="s">
        <v>142</v>
      </c>
      <c r="B11" s="1" t="s">
        <v>143</v>
      </c>
      <c r="C11" s="1" t="s">
        <v>139</v>
      </c>
      <c r="D11" s="1" t="s">
        <v>84</v>
      </c>
      <c r="E11" s="18">
        <v>620</v>
      </c>
      <c r="F11" s="18">
        <v>200</v>
      </c>
      <c r="G11" s="1">
        <v>40</v>
      </c>
      <c r="H11" s="20">
        <v>14.2</v>
      </c>
      <c r="I11" s="1" t="s">
        <v>144</v>
      </c>
      <c r="J11" s="1" t="s">
        <v>141</v>
      </c>
    </row>
    <row r="12" spans="1:10" ht="15" customHeight="1" x14ac:dyDescent="0.3">
      <c r="A12" s="1" t="s">
        <v>145</v>
      </c>
      <c r="B12" s="1" t="s">
        <v>146</v>
      </c>
      <c r="C12" s="1" t="s">
        <v>105</v>
      </c>
      <c r="D12" s="1" t="s">
        <v>90</v>
      </c>
      <c r="E12" s="18">
        <v>35</v>
      </c>
      <c r="F12" s="18">
        <v>0</v>
      </c>
      <c r="G12" s="1">
        <v>20</v>
      </c>
      <c r="H12" s="20">
        <v>74</v>
      </c>
      <c r="I12" s="1" t="s">
        <v>147</v>
      </c>
      <c r="J12" s="1" t="s">
        <v>148</v>
      </c>
    </row>
    <row r="13" spans="1:10" ht="15" customHeight="1" x14ac:dyDescent="0.3">
      <c r="A13" s="1" t="s">
        <v>149</v>
      </c>
      <c r="B13" s="1" t="s">
        <v>150</v>
      </c>
      <c r="C13" s="1" t="s">
        <v>105</v>
      </c>
      <c r="D13" s="1" t="s">
        <v>90</v>
      </c>
      <c r="E13" s="18">
        <v>14</v>
      </c>
      <c r="F13" s="18">
        <v>0</v>
      </c>
      <c r="G13" s="1">
        <v>10</v>
      </c>
      <c r="H13" s="20">
        <v>118</v>
      </c>
      <c r="I13" s="1" t="s">
        <v>151</v>
      </c>
      <c r="J13" s="1" t="s">
        <v>152</v>
      </c>
    </row>
    <row r="14" spans="1:10" ht="15" customHeight="1" x14ac:dyDescent="0.3">
      <c r="A14" s="1" t="s">
        <v>153</v>
      </c>
      <c r="B14" s="1" t="s">
        <v>154</v>
      </c>
      <c r="C14" s="1" t="s">
        <v>105</v>
      </c>
      <c r="D14" s="1" t="s">
        <v>73</v>
      </c>
      <c r="E14" s="18">
        <v>8</v>
      </c>
      <c r="F14" s="18">
        <v>0</v>
      </c>
      <c r="G14" s="1">
        <v>5</v>
      </c>
      <c r="H14" s="20">
        <v>154</v>
      </c>
      <c r="I14" s="1" t="s">
        <v>155</v>
      </c>
      <c r="J14" s="1" t="s">
        <v>156</v>
      </c>
    </row>
    <row r="15" spans="1:10" ht="15" customHeight="1" x14ac:dyDescent="0.3">
      <c r="A15" s="1" t="s">
        <v>157</v>
      </c>
      <c r="B15" s="1" t="s">
        <v>158</v>
      </c>
      <c r="C15" s="1" t="s">
        <v>105</v>
      </c>
      <c r="D15" s="1" t="s">
        <v>73</v>
      </c>
      <c r="E15" s="18">
        <v>18</v>
      </c>
      <c r="F15" s="18">
        <v>0</v>
      </c>
      <c r="G15" s="1">
        <v>10</v>
      </c>
      <c r="H15" s="20">
        <v>51</v>
      </c>
      <c r="I15" s="1" t="s">
        <v>159</v>
      </c>
      <c r="J15" s="1" t="s">
        <v>160</v>
      </c>
    </row>
    <row r="16" spans="1:10" ht="15" customHeight="1" x14ac:dyDescent="0.3">
      <c r="A16" s="1" t="s">
        <v>161</v>
      </c>
      <c r="B16" s="1" t="s">
        <v>162</v>
      </c>
      <c r="C16" s="1" t="s">
        <v>105</v>
      </c>
      <c r="D16" s="1" t="s">
        <v>68</v>
      </c>
      <c r="E16" s="18">
        <v>20</v>
      </c>
      <c r="F16" s="18">
        <v>0</v>
      </c>
      <c r="G16" s="1">
        <v>10</v>
      </c>
      <c r="H16" s="20">
        <v>59</v>
      </c>
      <c r="I16" s="1" t="s">
        <v>163</v>
      </c>
      <c r="J16" s="1" t="s">
        <v>164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2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x14ac:dyDescent="0.3"/>
  <cols>
    <col min="1" max="1" width="9" customWidth="1"/>
    <col min="2" max="2" width="32" customWidth="1"/>
    <col min="3" max="3" width="10" customWidth="1"/>
    <col min="4" max="4" width="9" customWidth="1"/>
    <col min="5" max="5" width="12" customWidth="1"/>
    <col min="6" max="6" width="14" customWidth="1"/>
    <col min="7" max="7" width="12" customWidth="1"/>
    <col min="8" max="8" width="7" customWidth="1"/>
  </cols>
  <sheetData>
    <row r="1" spans="1:8" ht="23.25" customHeight="1" x14ac:dyDescent="0.3">
      <c r="A1" s="19" t="s">
        <v>165</v>
      </c>
      <c r="B1" s="19" t="s">
        <v>95</v>
      </c>
      <c r="C1" s="19" t="s">
        <v>166</v>
      </c>
      <c r="D1" s="19" t="s">
        <v>167</v>
      </c>
      <c r="E1" s="19" t="s">
        <v>168</v>
      </c>
      <c r="F1" s="19" t="s">
        <v>169</v>
      </c>
      <c r="G1" s="19" t="s">
        <v>170</v>
      </c>
      <c r="H1" s="19" t="s">
        <v>171</v>
      </c>
    </row>
    <row r="2" spans="1:8" ht="15" customHeight="1" x14ac:dyDescent="0.3">
      <c r="A2" s="1" t="s">
        <v>172</v>
      </c>
      <c r="B2" s="1" t="s">
        <v>173</v>
      </c>
      <c r="C2" s="1" t="s">
        <v>174</v>
      </c>
      <c r="D2" s="1" t="s">
        <v>23</v>
      </c>
      <c r="E2" s="21">
        <v>4.5</v>
      </c>
      <c r="F2" s="1">
        <v>45</v>
      </c>
      <c r="G2" s="1" t="s">
        <v>175</v>
      </c>
      <c r="H2" s="1" t="s">
        <v>176</v>
      </c>
    </row>
    <row r="3" spans="1:8" ht="15" customHeight="1" x14ac:dyDescent="0.3">
      <c r="A3" s="1" t="s">
        <v>177</v>
      </c>
      <c r="B3" s="1" t="s">
        <v>178</v>
      </c>
      <c r="C3" s="1" t="s">
        <v>174</v>
      </c>
      <c r="D3" s="1" t="s">
        <v>23</v>
      </c>
      <c r="E3" s="21">
        <v>9</v>
      </c>
      <c r="F3" s="1">
        <v>60</v>
      </c>
      <c r="G3" s="1" t="s">
        <v>179</v>
      </c>
      <c r="H3" s="1" t="s">
        <v>176</v>
      </c>
    </row>
    <row r="4" spans="1:8" ht="15" customHeight="1" x14ac:dyDescent="0.3">
      <c r="A4" s="1" t="s">
        <v>180</v>
      </c>
      <c r="B4" s="1" t="s">
        <v>181</v>
      </c>
      <c r="C4" s="1" t="s">
        <v>182</v>
      </c>
      <c r="D4" s="1" t="s">
        <v>25</v>
      </c>
      <c r="E4" s="21">
        <v>2.8</v>
      </c>
      <c r="F4" s="1">
        <v>30</v>
      </c>
      <c r="G4" s="1" t="s">
        <v>183</v>
      </c>
      <c r="H4" s="1" t="s">
        <v>176</v>
      </c>
    </row>
    <row r="5" spans="1:8" ht="15" customHeight="1" x14ac:dyDescent="0.3">
      <c r="A5" s="1" t="s">
        <v>184</v>
      </c>
      <c r="B5" s="1" t="s">
        <v>185</v>
      </c>
      <c r="C5" s="1" t="s">
        <v>182</v>
      </c>
      <c r="D5" s="1" t="s">
        <v>25</v>
      </c>
      <c r="E5" s="21">
        <v>11</v>
      </c>
      <c r="F5" s="1">
        <v>60</v>
      </c>
      <c r="G5" s="1" t="s">
        <v>186</v>
      </c>
      <c r="H5" s="1" t="s">
        <v>176</v>
      </c>
    </row>
    <row r="6" spans="1:8" ht="15" customHeight="1" x14ac:dyDescent="0.3">
      <c r="A6" s="1" t="s">
        <v>187</v>
      </c>
      <c r="B6" s="1" t="s">
        <v>188</v>
      </c>
      <c r="C6" s="1" t="s">
        <v>189</v>
      </c>
      <c r="D6" s="1" t="s">
        <v>27</v>
      </c>
      <c r="E6" s="21">
        <v>4</v>
      </c>
      <c r="F6" s="1">
        <v>50</v>
      </c>
      <c r="G6" s="1" t="s">
        <v>190</v>
      </c>
      <c r="H6" s="1" t="s">
        <v>176</v>
      </c>
    </row>
    <row r="7" spans="1:8" ht="15" customHeight="1" x14ac:dyDescent="0.3">
      <c r="A7" s="1" t="s">
        <v>191</v>
      </c>
      <c r="B7" s="1" t="s">
        <v>192</v>
      </c>
      <c r="C7" s="1" t="s">
        <v>189</v>
      </c>
      <c r="D7" s="1" t="s">
        <v>27</v>
      </c>
      <c r="E7" s="21">
        <v>8</v>
      </c>
      <c r="F7" s="1">
        <v>50</v>
      </c>
      <c r="G7" s="1" t="s">
        <v>193</v>
      </c>
      <c r="H7" s="1" t="s">
        <v>176</v>
      </c>
    </row>
    <row r="8" spans="1:8" ht="15" customHeight="1" x14ac:dyDescent="0.3">
      <c r="A8" s="1" t="s">
        <v>194</v>
      </c>
      <c r="B8" s="1" t="s">
        <v>195</v>
      </c>
      <c r="C8" s="1" t="s">
        <v>189</v>
      </c>
      <c r="D8" s="1" t="s">
        <v>29</v>
      </c>
      <c r="E8" s="21">
        <v>12</v>
      </c>
      <c r="F8" s="1">
        <v>75</v>
      </c>
      <c r="G8" s="1" t="s">
        <v>196</v>
      </c>
      <c r="H8" s="1" t="s">
        <v>176</v>
      </c>
    </row>
    <row r="9" spans="1:8" ht="15" customHeight="1" x14ac:dyDescent="0.3">
      <c r="A9" s="1" t="s">
        <v>197</v>
      </c>
      <c r="B9" s="1" t="s">
        <v>198</v>
      </c>
      <c r="C9" s="1" t="s">
        <v>189</v>
      </c>
      <c r="D9" s="1" t="s">
        <v>29</v>
      </c>
      <c r="E9" s="21">
        <v>22</v>
      </c>
      <c r="F9" s="1">
        <v>90</v>
      </c>
      <c r="G9" s="1" t="s">
        <v>199</v>
      </c>
      <c r="H9" s="1" t="s">
        <v>176</v>
      </c>
    </row>
    <row r="10" spans="1:8" ht="15" customHeight="1" x14ac:dyDescent="0.3">
      <c r="A10" s="1" t="s">
        <v>200</v>
      </c>
      <c r="B10" s="1" t="s">
        <v>201</v>
      </c>
      <c r="C10" s="1" t="s">
        <v>202</v>
      </c>
      <c r="D10" s="1" t="s">
        <v>29</v>
      </c>
      <c r="E10" s="21">
        <v>18</v>
      </c>
      <c r="F10" s="1">
        <v>120</v>
      </c>
      <c r="G10" s="1" t="s">
        <v>203</v>
      </c>
      <c r="H10" s="1" t="s">
        <v>176</v>
      </c>
    </row>
    <row r="11" spans="1:8" ht="15" customHeight="1" x14ac:dyDescent="0.3">
      <c r="A11" s="1" t="s">
        <v>204</v>
      </c>
      <c r="B11" s="1" t="s">
        <v>205</v>
      </c>
      <c r="C11" s="1" t="s">
        <v>202</v>
      </c>
      <c r="D11" s="1" t="s">
        <v>27</v>
      </c>
      <c r="E11" s="21">
        <v>5.5</v>
      </c>
      <c r="F11" s="1">
        <v>60</v>
      </c>
      <c r="G11" s="1" t="s">
        <v>206</v>
      </c>
      <c r="H11" s="1" t="s">
        <v>176</v>
      </c>
    </row>
    <row r="12" spans="1:8" ht="15" customHeight="1" x14ac:dyDescent="0.3">
      <c r="A12" s="1" t="s">
        <v>207</v>
      </c>
      <c r="B12" s="1" t="s">
        <v>208</v>
      </c>
      <c r="C12" s="1" t="s">
        <v>209</v>
      </c>
      <c r="D12" s="1" t="s">
        <v>25</v>
      </c>
      <c r="E12" s="21">
        <v>0.9</v>
      </c>
      <c r="F12" s="1">
        <v>25</v>
      </c>
      <c r="G12" s="1" t="s">
        <v>210</v>
      </c>
      <c r="H12" s="1" t="s">
        <v>176</v>
      </c>
    </row>
    <row r="13" spans="1:8" ht="15" customHeight="1" x14ac:dyDescent="0.3">
      <c r="A13" s="1" t="s">
        <v>211</v>
      </c>
      <c r="B13" s="1" t="s">
        <v>212</v>
      </c>
      <c r="C13" s="1" t="s">
        <v>209</v>
      </c>
      <c r="D13" s="1" t="s">
        <v>23</v>
      </c>
      <c r="E13" s="21">
        <v>2.2000000000000002</v>
      </c>
      <c r="F13" s="1">
        <v>35</v>
      </c>
      <c r="G13" s="1" t="s">
        <v>213</v>
      </c>
      <c r="H13" s="1" t="s">
        <v>176</v>
      </c>
    </row>
    <row r="14" spans="1:8" ht="15" customHeight="1" x14ac:dyDescent="0.3">
      <c r="A14" s="1" t="s">
        <v>214</v>
      </c>
      <c r="B14" s="1" t="s">
        <v>215</v>
      </c>
      <c r="C14" s="1" t="s">
        <v>216</v>
      </c>
      <c r="D14" s="1" t="s">
        <v>23</v>
      </c>
      <c r="E14" s="21">
        <v>14</v>
      </c>
      <c r="F14" s="1">
        <v>90</v>
      </c>
      <c r="G14" s="1" t="s">
        <v>217</v>
      </c>
      <c r="H14" s="1" t="s">
        <v>176</v>
      </c>
    </row>
    <row r="15" spans="1:8" ht="15" customHeight="1" x14ac:dyDescent="0.3">
      <c r="A15" s="1" t="s">
        <v>218</v>
      </c>
      <c r="B15" s="1" t="s">
        <v>219</v>
      </c>
      <c r="C15" s="1" t="s">
        <v>182</v>
      </c>
      <c r="D15" s="1" t="s">
        <v>29</v>
      </c>
      <c r="E15" s="21">
        <v>3.5</v>
      </c>
      <c r="F15" s="1">
        <v>40</v>
      </c>
      <c r="G15" s="1" t="s">
        <v>220</v>
      </c>
      <c r="H15" s="1" t="s">
        <v>176</v>
      </c>
    </row>
    <row r="16" spans="1:8" ht="15" customHeight="1" x14ac:dyDescent="0.3">
      <c r="A16" s="1" t="s">
        <v>221</v>
      </c>
      <c r="B16" s="1" t="s">
        <v>222</v>
      </c>
      <c r="C16" s="1" t="s">
        <v>223</v>
      </c>
      <c r="D16" s="1" t="s">
        <v>25</v>
      </c>
      <c r="E16" s="21">
        <v>1.6</v>
      </c>
      <c r="F16" s="1">
        <v>30</v>
      </c>
      <c r="G16" s="1" t="s">
        <v>224</v>
      </c>
      <c r="H16" s="1" t="s">
        <v>176</v>
      </c>
    </row>
    <row r="17" spans="1:8" ht="15" customHeight="1" x14ac:dyDescent="0.3">
      <c r="A17" s="1" t="s">
        <v>225</v>
      </c>
      <c r="B17" s="1" t="s">
        <v>226</v>
      </c>
      <c r="C17" s="1" t="s">
        <v>189</v>
      </c>
      <c r="D17" s="1" t="s">
        <v>23</v>
      </c>
      <c r="E17" s="21">
        <v>3.2</v>
      </c>
      <c r="F17" s="1">
        <v>40</v>
      </c>
      <c r="G17" s="1" t="s">
        <v>227</v>
      </c>
      <c r="H17" s="1" t="s">
        <v>176</v>
      </c>
    </row>
    <row r="18" spans="1:8" ht="15" customHeight="1" x14ac:dyDescent="0.3">
      <c r="A18" s="1" t="s">
        <v>228</v>
      </c>
      <c r="B18" s="1" t="s">
        <v>229</v>
      </c>
      <c r="C18" s="1" t="s">
        <v>189</v>
      </c>
      <c r="D18" s="1" t="s">
        <v>23</v>
      </c>
      <c r="E18" s="21">
        <v>7.5</v>
      </c>
      <c r="F18" s="1">
        <v>55</v>
      </c>
      <c r="G18" s="1" t="s">
        <v>230</v>
      </c>
      <c r="H18" s="1" t="s">
        <v>176</v>
      </c>
    </row>
    <row r="19" spans="1:8" ht="15" customHeight="1" x14ac:dyDescent="0.3">
      <c r="A19" s="1" t="s">
        <v>231</v>
      </c>
      <c r="B19" s="1" t="s">
        <v>232</v>
      </c>
      <c r="C19" s="1" t="s">
        <v>189</v>
      </c>
      <c r="D19" s="1" t="s">
        <v>29</v>
      </c>
      <c r="E19" s="21">
        <v>9</v>
      </c>
      <c r="F19" s="1">
        <v>70</v>
      </c>
      <c r="G19" s="1" t="s">
        <v>233</v>
      </c>
      <c r="H19" s="1" t="s">
        <v>176</v>
      </c>
    </row>
    <row r="20" spans="1:8" ht="15" customHeight="1" x14ac:dyDescent="0.3">
      <c r="A20" s="1" t="s">
        <v>234</v>
      </c>
      <c r="B20" s="1" t="s">
        <v>235</v>
      </c>
      <c r="C20" s="1" t="s">
        <v>202</v>
      </c>
      <c r="D20" s="1" t="s">
        <v>29</v>
      </c>
      <c r="E20" s="21">
        <v>25</v>
      </c>
      <c r="F20" s="1">
        <v>120</v>
      </c>
      <c r="G20" s="1" t="s">
        <v>236</v>
      </c>
      <c r="H20" s="1" t="s">
        <v>176</v>
      </c>
    </row>
    <row r="21" spans="1:8" ht="15" customHeight="1" x14ac:dyDescent="0.3">
      <c r="A21" s="1" t="s">
        <v>237</v>
      </c>
      <c r="B21" s="1" t="s">
        <v>238</v>
      </c>
      <c r="C21" s="1" t="s">
        <v>182</v>
      </c>
      <c r="D21" s="1" t="s">
        <v>25</v>
      </c>
      <c r="E21" s="21">
        <v>3</v>
      </c>
      <c r="F21" s="1">
        <v>30</v>
      </c>
      <c r="G21" s="1" t="s">
        <v>239</v>
      </c>
      <c r="H21" s="1" t="s">
        <v>176</v>
      </c>
    </row>
    <row r="22" spans="1:8" ht="15" customHeight="1" x14ac:dyDescent="0.3">
      <c r="A22" s="1" t="s">
        <v>240</v>
      </c>
      <c r="B22" s="1" t="s">
        <v>241</v>
      </c>
      <c r="C22" s="1" t="s">
        <v>174</v>
      </c>
      <c r="D22" s="1" t="s">
        <v>23</v>
      </c>
      <c r="E22" s="21">
        <v>4.2</v>
      </c>
      <c r="F22" s="1">
        <v>45</v>
      </c>
      <c r="G22" s="1" t="s">
        <v>242</v>
      </c>
      <c r="H22" s="1" t="s">
        <v>243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23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x14ac:dyDescent="0.3"/>
  <cols>
    <col min="1" max="1" width="12" customWidth="1"/>
    <col min="2" max="2" width="9" customWidth="1"/>
    <col min="3" max="3" width="6" customWidth="1"/>
    <col min="4" max="4" width="9" customWidth="1"/>
    <col min="5" max="6" width="12" customWidth="1"/>
    <col min="7" max="7" width="34" customWidth="1"/>
  </cols>
  <sheetData>
    <row r="1" spans="1:7" ht="15" customHeight="1" x14ac:dyDescent="0.3">
      <c r="A1" s="19" t="s">
        <v>244</v>
      </c>
      <c r="B1" s="19" t="s">
        <v>165</v>
      </c>
      <c r="C1" s="19" t="s">
        <v>245</v>
      </c>
      <c r="D1" s="19" t="s">
        <v>94</v>
      </c>
      <c r="E1" s="19" t="s">
        <v>246</v>
      </c>
      <c r="F1" s="19" t="s">
        <v>247</v>
      </c>
      <c r="G1" s="19" t="s">
        <v>67</v>
      </c>
    </row>
    <row r="2" spans="1:7" ht="15" customHeight="1" x14ac:dyDescent="0.3">
      <c r="A2" s="1" t="str">
        <f t="shared" ref="A2:A23" si="0">B2&amp;"-"&amp;C2</f>
        <v>A-1001-1</v>
      </c>
      <c r="B2" s="1" t="s">
        <v>172</v>
      </c>
      <c r="C2" s="1">
        <v>1</v>
      </c>
      <c r="D2" s="1" t="s">
        <v>103</v>
      </c>
      <c r="E2" s="22">
        <v>3.5999999999999997E-2</v>
      </c>
      <c r="F2" s="23">
        <v>0.05</v>
      </c>
      <c r="G2" s="1" t="s">
        <v>248</v>
      </c>
    </row>
    <row r="3" spans="1:7" ht="15" customHeight="1" x14ac:dyDescent="0.3">
      <c r="A3" s="1" t="str">
        <f t="shared" si="0"/>
        <v>A-1002-1</v>
      </c>
      <c r="B3" s="1" t="s">
        <v>177</v>
      </c>
      <c r="C3" s="1">
        <v>1</v>
      </c>
      <c r="D3" s="1" t="s">
        <v>108</v>
      </c>
      <c r="E3" s="22">
        <v>6.2E-2</v>
      </c>
      <c r="F3" s="23">
        <v>0.05</v>
      </c>
      <c r="G3" s="1"/>
    </row>
    <row r="4" spans="1:7" ht="15" customHeight="1" x14ac:dyDescent="0.3">
      <c r="A4" s="1" t="str">
        <f t="shared" si="0"/>
        <v>A-1003-1</v>
      </c>
      <c r="B4" s="1" t="s">
        <v>180</v>
      </c>
      <c r="C4" s="1">
        <v>1</v>
      </c>
      <c r="D4" s="1" t="s">
        <v>112</v>
      </c>
      <c r="E4" s="22">
        <v>2.1999999999999999E-2</v>
      </c>
      <c r="F4" s="23">
        <v>0.05</v>
      </c>
      <c r="G4" s="1"/>
    </row>
    <row r="5" spans="1:7" ht="15" customHeight="1" x14ac:dyDescent="0.3">
      <c r="A5" s="1" t="str">
        <f t="shared" si="0"/>
        <v>A-1004-1</v>
      </c>
      <c r="B5" s="1" t="s">
        <v>184</v>
      </c>
      <c r="C5" s="1">
        <v>1</v>
      </c>
      <c r="D5" s="1" t="s">
        <v>116</v>
      </c>
      <c r="E5" s="22">
        <v>7.0000000000000007E-2</v>
      </c>
      <c r="F5" s="23">
        <v>0.05</v>
      </c>
      <c r="G5" s="1"/>
    </row>
    <row r="6" spans="1:7" ht="15" customHeight="1" x14ac:dyDescent="0.3">
      <c r="A6" s="1" t="str">
        <f t="shared" si="0"/>
        <v>A-1005-1</v>
      </c>
      <c r="B6" s="1" t="s">
        <v>187</v>
      </c>
      <c r="C6" s="1">
        <v>1</v>
      </c>
      <c r="D6" s="1" t="s">
        <v>124</v>
      </c>
      <c r="E6" s="22">
        <v>1.4E-2</v>
      </c>
      <c r="F6" s="23">
        <v>0.08</v>
      </c>
      <c r="G6" s="1" t="s">
        <v>249</v>
      </c>
    </row>
    <row r="7" spans="1:7" ht="15" customHeight="1" x14ac:dyDescent="0.3">
      <c r="A7" s="1" t="str">
        <f t="shared" si="0"/>
        <v>A-1006-1</v>
      </c>
      <c r="B7" s="1" t="s">
        <v>191</v>
      </c>
      <c r="C7" s="1">
        <v>1</v>
      </c>
      <c r="D7" s="1" t="s">
        <v>128</v>
      </c>
      <c r="E7" s="22">
        <v>2.5000000000000001E-2</v>
      </c>
      <c r="F7" s="23">
        <v>0.1</v>
      </c>
      <c r="G7" s="1" t="s">
        <v>250</v>
      </c>
    </row>
    <row r="8" spans="1:7" ht="15" customHeight="1" x14ac:dyDescent="0.3">
      <c r="A8" s="1" t="str">
        <f t="shared" si="0"/>
        <v>A-1007-1</v>
      </c>
      <c r="B8" s="1" t="s">
        <v>194</v>
      </c>
      <c r="C8" s="1">
        <v>1</v>
      </c>
      <c r="D8" s="1" t="s">
        <v>128</v>
      </c>
      <c r="E8" s="22">
        <v>6.25E-2</v>
      </c>
      <c r="F8" s="23">
        <v>0.1</v>
      </c>
      <c r="G8" s="1" t="s">
        <v>251</v>
      </c>
    </row>
    <row r="9" spans="1:7" ht="15" customHeight="1" x14ac:dyDescent="0.3">
      <c r="A9" s="1" t="str">
        <f t="shared" si="0"/>
        <v>A-1008-1</v>
      </c>
      <c r="B9" s="1" t="s">
        <v>197</v>
      </c>
      <c r="C9" s="1">
        <v>1</v>
      </c>
      <c r="D9" s="1" t="s">
        <v>133</v>
      </c>
      <c r="E9" s="22">
        <v>0.25</v>
      </c>
      <c r="F9" s="23">
        <v>0.1</v>
      </c>
      <c r="G9" s="1" t="s">
        <v>252</v>
      </c>
    </row>
    <row r="10" spans="1:7" ht="15" customHeight="1" x14ac:dyDescent="0.3">
      <c r="A10" s="1" t="str">
        <f t="shared" si="0"/>
        <v>A-1009-1</v>
      </c>
      <c r="B10" s="1" t="s">
        <v>200</v>
      </c>
      <c r="C10" s="1">
        <v>1</v>
      </c>
      <c r="D10" s="1" t="s">
        <v>137</v>
      </c>
      <c r="E10" s="22">
        <v>1</v>
      </c>
      <c r="F10" s="23">
        <v>0</v>
      </c>
      <c r="G10" s="1" t="s">
        <v>253</v>
      </c>
    </row>
    <row r="11" spans="1:7" ht="15" customHeight="1" x14ac:dyDescent="0.3">
      <c r="A11" s="1" t="str">
        <f t="shared" si="0"/>
        <v>A-1010-1</v>
      </c>
      <c r="B11" s="1" t="s">
        <v>204</v>
      </c>
      <c r="C11" s="1">
        <v>1</v>
      </c>
      <c r="D11" s="1" t="s">
        <v>142</v>
      </c>
      <c r="E11" s="22">
        <v>1</v>
      </c>
      <c r="F11" s="23">
        <v>0</v>
      </c>
      <c r="G11" s="1" t="s">
        <v>253</v>
      </c>
    </row>
    <row r="12" spans="1:7" ht="15" customHeight="1" x14ac:dyDescent="0.3">
      <c r="A12" s="1" t="str">
        <f t="shared" si="0"/>
        <v>A-1011-1</v>
      </c>
      <c r="B12" s="1" t="s">
        <v>207</v>
      </c>
      <c r="C12" s="1">
        <v>1</v>
      </c>
      <c r="D12" s="1" t="s">
        <v>145</v>
      </c>
      <c r="E12" s="22">
        <v>4.0000000000000001E-3</v>
      </c>
      <c r="F12" s="23">
        <v>0.05</v>
      </c>
      <c r="G12" s="1"/>
    </row>
    <row r="13" spans="1:7" ht="15" customHeight="1" x14ac:dyDescent="0.3">
      <c r="A13" s="1" t="str">
        <f t="shared" si="0"/>
        <v>A-1012-1</v>
      </c>
      <c r="B13" s="1" t="s">
        <v>211</v>
      </c>
      <c r="C13" s="1">
        <v>1</v>
      </c>
      <c r="D13" s="1" t="s">
        <v>149</v>
      </c>
      <c r="E13" s="22">
        <v>1.7999999999999999E-2</v>
      </c>
      <c r="F13" s="23">
        <v>0.05</v>
      </c>
      <c r="G13" s="1"/>
    </row>
    <row r="14" spans="1:7" ht="15" customHeight="1" x14ac:dyDescent="0.3">
      <c r="A14" s="1" t="str">
        <f t="shared" si="0"/>
        <v>A-1013-1</v>
      </c>
      <c r="B14" s="1" t="s">
        <v>214</v>
      </c>
      <c r="C14" s="1">
        <v>1</v>
      </c>
      <c r="D14" s="1" t="s">
        <v>153</v>
      </c>
      <c r="E14" s="22">
        <v>7.4999999999999997E-2</v>
      </c>
      <c r="F14" s="23">
        <v>0.05</v>
      </c>
      <c r="G14" s="1"/>
    </row>
    <row r="15" spans="1:7" ht="15" customHeight="1" x14ac:dyDescent="0.3">
      <c r="A15" s="1" t="str">
        <f t="shared" si="0"/>
        <v>A-1014-1</v>
      </c>
      <c r="B15" s="1" t="s">
        <v>218</v>
      </c>
      <c r="C15" s="1">
        <v>1</v>
      </c>
      <c r="D15" s="1" t="s">
        <v>157</v>
      </c>
      <c r="E15" s="22">
        <v>3.5000000000000003E-2</v>
      </c>
      <c r="F15" s="23">
        <v>0.05</v>
      </c>
      <c r="G15" s="1"/>
    </row>
    <row r="16" spans="1:7" ht="15" customHeight="1" x14ac:dyDescent="0.3">
      <c r="A16" s="1" t="str">
        <f t="shared" si="0"/>
        <v>A-1015-1</v>
      </c>
      <c r="B16" s="1" t="s">
        <v>221</v>
      </c>
      <c r="C16" s="1">
        <v>1</v>
      </c>
      <c r="D16" s="1" t="s">
        <v>161</v>
      </c>
      <c r="E16" s="22">
        <v>1.4999999999999999E-2</v>
      </c>
      <c r="F16" s="23">
        <v>0.05</v>
      </c>
      <c r="G16" s="1"/>
    </row>
    <row r="17" spans="1:7" ht="15" customHeight="1" x14ac:dyDescent="0.3">
      <c r="A17" s="1" t="str">
        <f t="shared" si="0"/>
        <v>A-1016-1</v>
      </c>
      <c r="B17" s="1" t="s">
        <v>225</v>
      </c>
      <c r="C17" s="1">
        <v>1</v>
      </c>
      <c r="D17" s="1" t="s">
        <v>120</v>
      </c>
      <c r="E17" s="22">
        <v>1.0999999999999999E-2</v>
      </c>
      <c r="F17" s="23">
        <v>0.08</v>
      </c>
      <c r="G17" s="1"/>
    </row>
    <row r="18" spans="1:7" ht="15" customHeight="1" x14ac:dyDescent="0.3">
      <c r="A18" s="1" t="str">
        <f t="shared" si="0"/>
        <v>A-1017-1</v>
      </c>
      <c r="B18" s="1" t="s">
        <v>228</v>
      </c>
      <c r="C18" s="1">
        <v>1</v>
      </c>
      <c r="D18" s="1" t="s">
        <v>124</v>
      </c>
      <c r="E18" s="22">
        <v>2.4E-2</v>
      </c>
      <c r="F18" s="23">
        <v>0.08</v>
      </c>
      <c r="G18" s="1"/>
    </row>
    <row r="19" spans="1:7" ht="15" customHeight="1" x14ac:dyDescent="0.3">
      <c r="A19" s="1" t="str">
        <f t="shared" si="0"/>
        <v>A-1018-1</v>
      </c>
      <c r="B19" s="1" t="s">
        <v>231</v>
      </c>
      <c r="C19" s="1">
        <v>1</v>
      </c>
      <c r="D19" s="1" t="s">
        <v>128</v>
      </c>
      <c r="E19" s="22">
        <v>0.1</v>
      </c>
      <c r="F19" s="23">
        <v>0.1</v>
      </c>
      <c r="G19" s="1" t="s">
        <v>254</v>
      </c>
    </row>
    <row r="20" spans="1:7" ht="15" customHeight="1" x14ac:dyDescent="0.3">
      <c r="A20" s="1" t="str">
        <f t="shared" si="0"/>
        <v>A-1019-1</v>
      </c>
      <c r="B20" s="1" t="s">
        <v>234</v>
      </c>
      <c r="C20" s="1">
        <v>1</v>
      </c>
      <c r="D20" s="1" t="s">
        <v>137</v>
      </c>
      <c r="E20" s="22">
        <v>1</v>
      </c>
      <c r="F20" s="23">
        <v>0</v>
      </c>
      <c r="G20" s="1" t="s">
        <v>255</v>
      </c>
    </row>
    <row r="21" spans="1:7" ht="15" customHeight="1" x14ac:dyDescent="0.3">
      <c r="A21" s="1" t="str">
        <f t="shared" si="0"/>
        <v>A-1019-2</v>
      </c>
      <c r="B21" s="1" t="s">
        <v>234</v>
      </c>
      <c r="C21" s="1">
        <v>2</v>
      </c>
      <c r="D21" s="1" t="s">
        <v>142</v>
      </c>
      <c r="E21" s="22">
        <v>1</v>
      </c>
      <c r="F21" s="23">
        <v>0</v>
      </c>
      <c r="G21" s="1" t="s">
        <v>256</v>
      </c>
    </row>
    <row r="22" spans="1:7" ht="15" customHeight="1" x14ac:dyDescent="0.3">
      <c r="A22" s="1" t="str">
        <f t="shared" si="0"/>
        <v>A-1020-1</v>
      </c>
      <c r="B22" s="1" t="s">
        <v>237</v>
      </c>
      <c r="C22" s="1">
        <v>1</v>
      </c>
      <c r="D22" s="1" t="s">
        <v>112</v>
      </c>
      <c r="E22" s="22">
        <v>2.3E-2</v>
      </c>
      <c r="F22" s="23">
        <v>0.05</v>
      </c>
      <c r="G22" s="1"/>
    </row>
    <row r="23" spans="1:7" ht="15" customHeight="1" x14ac:dyDescent="0.3">
      <c r="A23" s="1" t="str">
        <f t="shared" si="0"/>
        <v>A-0998-1</v>
      </c>
      <c r="B23" s="1" t="s">
        <v>240</v>
      </c>
      <c r="C23" s="1">
        <v>1</v>
      </c>
      <c r="D23" s="1" t="s">
        <v>103</v>
      </c>
      <c r="E23" s="22">
        <v>3.3000000000000002E-2</v>
      </c>
      <c r="F23" s="23">
        <v>0.05</v>
      </c>
      <c r="G23" s="1" t="s">
        <v>257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5"/>
  <sheetViews>
    <sheetView zoomScaleNormal="100" workbookViewId="0"/>
  </sheetViews>
  <sheetFormatPr defaultColWidth="8.6640625" defaultRowHeight="14.4" x14ac:dyDescent="0.3"/>
  <cols>
    <col min="1" max="1" width="9" customWidth="1"/>
    <col min="2" max="2" width="28" customWidth="1"/>
    <col min="3" max="3" width="10" customWidth="1"/>
    <col min="4" max="4" width="11" customWidth="1"/>
    <col min="5" max="5" width="7" customWidth="1"/>
    <col min="6" max="6" width="12" customWidth="1"/>
    <col min="7" max="7" width="15" customWidth="1"/>
    <col min="8" max="8" width="12" customWidth="1"/>
    <col min="9" max="9" width="40" customWidth="1"/>
  </cols>
  <sheetData>
    <row r="1" spans="1:9" ht="23.25" customHeight="1" x14ac:dyDescent="0.3">
      <c r="A1" s="19" t="s">
        <v>167</v>
      </c>
      <c r="B1" s="19" t="s">
        <v>95</v>
      </c>
      <c r="C1" s="19" t="s">
        <v>258</v>
      </c>
      <c r="D1" s="19" t="s">
        <v>259</v>
      </c>
      <c r="E1" s="19" t="s">
        <v>260</v>
      </c>
      <c r="F1" s="19" t="s">
        <v>261</v>
      </c>
      <c r="G1" s="19" t="s">
        <v>262</v>
      </c>
      <c r="H1" s="19" t="s">
        <v>263</v>
      </c>
      <c r="I1" s="19" t="s">
        <v>67</v>
      </c>
    </row>
    <row r="2" spans="1:9" ht="15" customHeight="1" x14ac:dyDescent="0.3">
      <c r="A2" s="1" t="s">
        <v>23</v>
      </c>
      <c r="B2" s="1" t="s">
        <v>264</v>
      </c>
      <c r="C2" s="24">
        <f>Parameter!$B$9</f>
        <v>2</v>
      </c>
      <c r="D2" s="21">
        <f>Parameter!$B$10</f>
        <v>8</v>
      </c>
      <c r="E2" s="24">
        <f>Parameter!$B$12</f>
        <v>5</v>
      </c>
      <c r="F2" s="16">
        <v>0.85</v>
      </c>
      <c r="G2" s="21">
        <f>C2*D2*E2*F2</f>
        <v>68</v>
      </c>
      <c r="H2" s="18">
        <v>41</v>
      </c>
      <c r="I2" s="1" t="s">
        <v>265</v>
      </c>
    </row>
    <row r="3" spans="1:9" ht="15" customHeight="1" x14ac:dyDescent="0.3">
      <c r="A3" s="1" t="s">
        <v>25</v>
      </c>
      <c r="B3" s="1" t="s">
        <v>266</v>
      </c>
      <c r="C3" s="24">
        <f>Parameter!$B$9</f>
        <v>2</v>
      </c>
      <c r="D3" s="21">
        <f>Parameter!$B$10</f>
        <v>8</v>
      </c>
      <c r="E3" s="24">
        <f>Parameter!$B$12</f>
        <v>5</v>
      </c>
      <c r="F3" s="16">
        <v>0.85</v>
      </c>
      <c r="G3" s="21">
        <f>C3*D3*E3*F3</f>
        <v>68</v>
      </c>
      <c r="H3" s="18">
        <v>44</v>
      </c>
      <c r="I3" s="1"/>
    </row>
    <row r="4" spans="1:9" ht="15" customHeight="1" x14ac:dyDescent="0.3">
      <c r="A4" s="1" t="s">
        <v>27</v>
      </c>
      <c r="B4" s="1" t="s">
        <v>267</v>
      </c>
      <c r="C4" s="1">
        <v>2</v>
      </c>
      <c r="D4" s="1">
        <v>8</v>
      </c>
      <c r="E4" s="1">
        <v>5</v>
      </c>
      <c r="F4" s="16">
        <v>0.8</v>
      </c>
      <c r="G4" s="21">
        <f>C4*D4*E4*F4</f>
        <v>64</v>
      </c>
      <c r="H4" s="18">
        <v>0</v>
      </c>
      <c r="I4" s="1" t="s">
        <v>268</v>
      </c>
    </row>
    <row r="5" spans="1:9" ht="15" customHeight="1" x14ac:dyDescent="0.3">
      <c r="A5" s="1" t="s">
        <v>29</v>
      </c>
      <c r="B5" s="1" t="s">
        <v>269</v>
      </c>
      <c r="C5" s="24">
        <f>Parameter!$B$9</f>
        <v>2</v>
      </c>
      <c r="D5" s="21">
        <f>Parameter!$B$10</f>
        <v>8</v>
      </c>
      <c r="E5" s="24">
        <f>Parameter!$B$12</f>
        <v>5</v>
      </c>
      <c r="F5" s="16">
        <v>0.9</v>
      </c>
      <c r="G5" s="21">
        <f>C5*D5*E5*F5</f>
        <v>72</v>
      </c>
      <c r="H5" s="18">
        <v>43</v>
      </c>
      <c r="I5" s="1"/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3"/>
  <sheetViews>
    <sheetView zoomScaleNormal="100" workbookViewId="0">
      <pane xSplit="4" ySplit="3" topLeftCell="E7" activePane="bottomRight" state="frozen"/>
      <selection pane="topRight" activeCell="E1" sqref="E1"/>
      <selection pane="bottomLeft" activeCell="A4" sqref="A4"/>
      <selection pane="bottomRight"/>
    </sheetView>
  </sheetViews>
  <sheetFormatPr defaultColWidth="8.6640625" defaultRowHeight="14.4" x14ac:dyDescent="0.3"/>
  <cols>
    <col min="1" max="1" width="9" customWidth="1"/>
    <col min="2" max="2" width="24" customWidth="1"/>
    <col min="3" max="3" width="5" customWidth="1"/>
    <col min="4" max="4" width="9" customWidth="1"/>
    <col min="5" max="5" width="8" customWidth="1"/>
    <col min="6" max="6" width="12" customWidth="1"/>
    <col min="7" max="7" width="30" customWidth="1"/>
    <col min="8" max="10" width="9" customWidth="1"/>
    <col min="11" max="11" width="10" customWidth="1"/>
    <col min="12" max="12" width="9" customWidth="1"/>
    <col min="13" max="14" width="8" customWidth="1"/>
    <col min="15" max="15" width="9" customWidth="1"/>
    <col min="16" max="16" width="8" customWidth="1"/>
    <col min="17" max="17" width="9" customWidth="1"/>
    <col min="18" max="18" width="38" customWidth="1"/>
    <col min="19" max="22" width="9" customWidth="1"/>
  </cols>
  <sheetData>
    <row r="1" spans="1:22" ht="17.25" customHeight="1" x14ac:dyDescent="0.3">
      <c r="A1" s="13" t="s">
        <v>270</v>
      </c>
      <c r="D1" s="3" t="s">
        <v>271</v>
      </c>
      <c r="N1" s="3" t="s">
        <v>272</v>
      </c>
    </row>
    <row r="3" spans="1:22" ht="23.25" customHeight="1" x14ac:dyDescent="0.3">
      <c r="A3" s="19" t="s">
        <v>273</v>
      </c>
      <c r="B3" s="19" t="s">
        <v>274</v>
      </c>
      <c r="C3" s="19" t="s">
        <v>275</v>
      </c>
      <c r="D3" s="19" t="s">
        <v>165</v>
      </c>
      <c r="E3" s="19" t="s">
        <v>276</v>
      </c>
      <c r="F3" s="19" t="s">
        <v>277</v>
      </c>
      <c r="G3" s="19" t="s">
        <v>95</v>
      </c>
      <c r="H3" s="19" t="s">
        <v>166</v>
      </c>
      <c r="I3" s="19" t="s">
        <v>167</v>
      </c>
      <c r="J3" s="19" t="s">
        <v>278</v>
      </c>
      <c r="K3" s="19" t="s">
        <v>279</v>
      </c>
      <c r="L3" s="19" t="s">
        <v>280</v>
      </c>
      <c r="M3" s="19" t="s">
        <v>281</v>
      </c>
      <c r="N3" s="19" t="s">
        <v>282</v>
      </c>
      <c r="O3" s="19" t="s">
        <v>283</v>
      </c>
      <c r="P3" s="19" t="s">
        <v>284</v>
      </c>
      <c r="Q3" s="19" t="s">
        <v>285</v>
      </c>
      <c r="R3" s="19" t="s">
        <v>67</v>
      </c>
      <c r="S3" s="19" t="s">
        <v>286</v>
      </c>
      <c r="T3" s="19" t="s">
        <v>287</v>
      </c>
      <c r="U3" s="19" t="s">
        <v>288</v>
      </c>
      <c r="V3" s="19" t="s">
        <v>289</v>
      </c>
    </row>
    <row r="4" spans="1:22" ht="15" customHeight="1" x14ac:dyDescent="0.3">
      <c r="A4" s="18" t="s">
        <v>290</v>
      </c>
      <c r="B4" s="18" t="s">
        <v>291</v>
      </c>
      <c r="C4" s="18" t="s">
        <v>71</v>
      </c>
      <c r="D4" s="18" t="s">
        <v>214</v>
      </c>
      <c r="E4" s="25">
        <v>60</v>
      </c>
      <c r="F4" s="15">
        <v>46283</v>
      </c>
      <c r="G4" s="1" t="str">
        <f>IFERROR(VLOOKUP($D4,Artikel!$A$2:$H$60,2,0),"??")</f>
        <v>Ritzelwelle 42CrMo4 Ø35</v>
      </c>
      <c r="H4" s="1" t="str">
        <f>VLOOKUP($D4,Artikel!$A$2:$H$60,3,0)</f>
        <v>42CrMo4</v>
      </c>
      <c r="I4" s="1" t="str">
        <f>VLOOKUP($D4,Artikel!$A$2:$H$60,4,0)</f>
        <v>M1</v>
      </c>
      <c r="J4" s="21">
        <f>E4*VLOOKUP($D4,Artikel!$A$2:$H$60,5,0)/60</f>
        <v>14</v>
      </c>
      <c r="K4" s="24">
        <f>VLOOKUP($D4,Artikel!$A$2:$H$60,6,0)+IF(AND(H4="Alu",E4&gt;Parameter!$B$8),Parameter!$B$7,0)</f>
        <v>90</v>
      </c>
      <c r="L4" s="21">
        <f t="shared" ref="L4:L35" si="0">J4+K4/60</f>
        <v>15.5</v>
      </c>
      <c r="M4" s="24">
        <f t="shared" ref="M4:M35" si="1">WEEKNUM(F4,21)</f>
        <v>38</v>
      </c>
      <c r="N4" s="24">
        <f t="shared" ref="N4:N35" si="2">M4-IF(C4="A",2,1)</f>
        <v>36</v>
      </c>
      <c r="O4" s="14"/>
      <c r="P4" s="24">
        <f t="shared" ref="P4:P35" si="3">IF(O4="",N4,O4)</f>
        <v>36</v>
      </c>
      <c r="Q4" s="18" t="s">
        <v>292</v>
      </c>
      <c r="R4" s="18" t="s">
        <v>293</v>
      </c>
      <c r="S4" s="1" t="str">
        <f>IFERROR(VLOOKUP($D4&amp;"-1",Stückliste!$A$2:$F$50,4,0),"")</f>
        <v>RM-113</v>
      </c>
      <c r="T4" s="21">
        <f>IF(S4="",0,ROUNDUP(E4*VLOOKUP($D4&amp;"-1",Stückliste!$A$2:$F$50,5,0)*(1+VLOOKUP($D4&amp;"-1",Stückliste!$A$2:$F$50,6,0)),1))</f>
        <v>4.8</v>
      </c>
      <c r="U4" s="1" t="str">
        <f>IFERROR(VLOOKUP($D4&amp;"-2",Stückliste!$A$2:$F$50,4,0),"")</f>
        <v/>
      </c>
      <c r="V4" s="21">
        <f>IF(U4="",0,ROUNDUP(E4*VLOOKUP($D4&amp;"-2",Stückliste!$A$2:$F$50,5,0)*(1+VLOOKUP($D4&amp;"-2",Stückliste!$A$2:$F$50,6,0)),1))</f>
        <v>0</v>
      </c>
    </row>
    <row r="5" spans="1:22" ht="15" customHeight="1" x14ac:dyDescent="0.3">
      <c r="A5" s="18" t="s">
        <v>294</v>
      </c>
      <c r="B5" s="18" t="s">
        <v>295</v>
      </c>
      <c r="C5" s="18" t="s">
        <v>81</v>
      </c>
      <c r="D5" s="18" t="s">
        <v>218</v>
      </c>
      <c r="E5" s="25">
        <v>400</v>
      </c>
      <c r="F5" s="15">
        <v>46283</v>
      </c>
      <c r="G5" s="1" t="str">
        <f>IFERROR(VLOOKUP($D5,Artikel!$A$2:$H$60,2,0),"??")</f>
        <v>Halter 60x10 S235</v>
      </c>
      <c r="H5" s="1" t="str">
        <f>VLOOKUP($D5,Artikel!$A$2:$H$60,3,0)</f>
        <v>S235JR</v>
      </c>
      <c r="I5" s="1" t="str">
        <f>VLOOKUP($D5,Artikel!$A$2:$H$60,4,0)</f>
        <v>M4</v>
      </c>
      <c r="J5" s="21">
        <f>E5*VLOOKUP($D5,Artikel!$A$2:$H$60,5,0)/60</f>
        <v>23.333333333333332</v>
      </c>
      <c r="K5" s="24">
        <f>VLOOKUP($D5,Artikel!$A$2:$H$60,6,0)+IF(AND(H5="Alu",E5&gt;Parameter!$B$8),Parameter!$B$7,0)</f>
        <v>40</v>
      </c>
      <c r="L5" s="21">
        <f t="shared" si="0"/>
        <v>24</v>
      </c>
      <c r="M5" s="24">
        <f t="shared" si="1"/>
        <v>38</v>
      </c>
      <c r="N5" s="24">
        <f t="shared" si="2"/>
        <v>37</v>
      </c>
      <c r="O5" s="14"/>
      <c r="P5" s="24">
        <f t="shared" si="3"/>
        <v>37</v>
      </c>
      <c r="Q5" s="18" t="s">
        <v>292</v>
      </c>
      <c r="R5" s="18"/>
      <c r="S5" s="1" t="str">
        <f>IFERROR(VLOOKUP($D5&amp;"-1",Stückliste!$A$2:$F$50,4,0),"")</f>
        <v>RM-114</v>
      </c>
      <c r="T5" s="21">
        <f>IF(S5="",0,ROUNDUP(E5*VLOOKUP($D5&amp;"-1",Stückliste!$A$2:$F$50,5,0)*(1+VLOOKUP($D5&amp;"-1",Stückliste!$A$2:$F$50,6,0)),1))</f>
        <v>14.7</v>
      </c>
      <c r="U5" s="1" t="str">
        <f>IFERROR(VLOOKUP($D5&amp;"-2",Stückliste!$A$2:$F$50,4,0),"")</f>
        <v/>
      </c>
      <c r="V5" s="21">
        <f>IF(U5="",0,ROUNDUP(E5*VLOOKUP($D5&amp;"-2",Stückliste!$A$2:$F$50,5,0)*(1+VLOOKUP($D5&amp;"-2",Stückliste!$A$2:$F$50,6,0)),1))</f>
        <v>0</v>
      </c>
    </row>
    <row r="6" spans="1:22" ht="15" customHeight="1" x14ac:dyDescent="0.3">
      <c r="A6" s="18" t="s">
        <v>296</v>
      </c>
      <c r="B6" s="18" t="s">
        <v>297</v>
      </c>
      <c r="C6" s="18" t="s">
        <v>81</v>
      </c>
      <c r="D6" s="18" t="s">
        <v>187</v>
      </c>
      <c r="E6" s="25">
        <v>120</v>
      </c>
      <c r="F6" s="15">
        <v>46290</v>
      </c>
      <c r="G6" s="1" t="str">
        <f>IFERROR(VLOOKUP($D6,Artikel!$A$2:$H$60,2,0),"??")</f>
        <v>Flansch DN50 Alu</v>
      </c>
      <c r="H6" s="1" t="str">
        <f>VLOOKUP($D6,Artikel!$A$2:$H$60,3,0)</f>
        <v>Alu</v>
      </c>
      <c r="I6" s="1" t="str">
        <f>VLOOKUP($D6,Artikel!$A$2:$H$60,4,0)</f>
        <v>M3</v>
      </c>
      <c r="J6" s="21">
        <f>E6*VLOOKUP($D6,Artikel!$A$2:$H$60,5,0)/60</f>
        <v>8</v>
      </c>
      <c r="K6" s="24">
        <f>VLOOKUP($D6,Artikel!$A$2:$H$60,6,0)+IF(AND(H6="Alu",E6&gt;Parameter!$B$8),Parameter!$B$7,0)</f>
        <v>50</v>
      </c>
      <c r="L6" s="21">
        <f t="shared" si="0"/>
        <v>8.8333333333333339</v>
      </c>
      <c r="M6" s="24">
        <f t="shared" si="1"/>
        <v>39</v>
      </c>
      <c r="N6" s="24">
        <f t="shared" si="2"/>
        <v>38</v>
      </c>
      <c r="O6" s="14"/>
      <c r="P6" s="24">
        <f t="shared" si="3"/>
        <v>38</v>
      </c>
      <c r="Q6" s="18" t="s">
        <v>292</v>
      </c>
      <c r="R6" s="18" t="s">
        <v>298</v>
      </c>
      <c r="S6" s="1" t="str">
        <f>IFERROR(VLOOKUP($D6&amp;"-1",Stückliste!$A$2:$F$50,4,0),"")</f>
        <v>RM-106</v>
      </c>
      <c r="T6" s="21">
        <f>IF(S6="",0,ROUNDUP(E6*VLOOKUP($D6&amp;"-1",Stückliste!$A$2:$F$50,5,0)*(1+VLOOKUP($D6&amp;"-1",Stückliste!$A$2:$F$50,6,0)),1))</f>
        <v>1.9000000000000001</v>
      </c>
      <c r="U6" s="1" t="str">
        <f>IFERROR(VLOOKUP($D6&amp;"-2",Stückliste!$A$2:$F$50,4,0),"")</f>
        <v/>
      </c>
      <c r="V6" s="21">
        <f>IF(U6="",0,ROUNDUP(E6*VLOOKUP($D6&amp;"-2",Stückliste!$A$2:$F$50,5,0)*(1+VLOOKUP($D6&amp;"-2",Stückliste!$A$2:$F$50,6,0)),1))</f>
        <v>0</v>
      </c>
    </row>
    <row r="7" spans="1:22" ht="15" customHeight="1" x14ac:dyDescent="0.3">
      <c r="A7" s="18" t="s">
        <v>299</v>
      </c>
      <c r="B7" s="18" t="s">
        <v>300</v>
      </c>
      <c r="C7" s="18" t="s">
        <v>81</v>
      </c>
      <c r="D7" s="18" t="s">
        <v>180</v>
      </c>
      <c r="E7" s="25">
        <v>900</v>
      </c>
      <c r="F7" s="15">
        <v>46283</v>
      </c>
      <c r="G7" s="1" t="str">
        <f>IFERROR(VLOOKUP($D7,Artikel!$A$2:$H$60,2,0),"??")</f>
        <v>Bolzen Ø30x120 S235</v>
      </c>
      <c r="H7" s="1" t="str">
        <f>VLOOKUP($D7,Artikel!$A$2:$H$60,3,0)</f>
        <v>S235JR</v>
      </c>
      <c r="I7" s="1" t="str">
        <f>VLOOKUP($D7,Artikel!$A$2:$H$60,4,0)</f>
        <v>M2</v>
      </c>
      <c r="J7" s="21">
        <f>E7*VLOOKUP($D7,Artikel!$A$2:$H$60,5,0)/60</f>
        <v>42</v>
      </c>
      <c r="K7" s="24">
        <f>VLOOKUP($D7,Artikel!$A$2:$H$60,6,0)+IF(AND(H7="Alu",E7&gt;Parameter!$B$8),Parameter!$B$7,0)</f>
        <v>30</v>
      </c>
      <c r="L7" s="21">
        <f t="shared" si="0"/>
        <v>42.5</v>
      </c>
      <c r="M7" s="24">
        <f t="shared" si="1"/>
        <v>38</v>
      </c>
      <c r="N7" s="24">
        <f t="shared" si="2"/>
        <v>37</v>
      </c>
      <c r="O7" s="14"/>
      <c r="P7" s="24">
        <f t="shared" si="3"/>
        <v>37</v>
      </c>
      <c r="Q7" s="18" t="s">
        <v>301</v>
      </c>
      <c r="R7" s="18" t="s">
        <v>302</v>
      </c>
      <c r="S7" s="1" t="str">
        <f>IFERROR(VLOOKUP($D7&amp;"-1",Stückliste!$A$2:$F$50,4,0),"")</f>
        <v>RM-103</v>
      </c>
      <c r="T7" s="21">
        <f>IF(S7="",0,ROUNDUP(E7*VLOOKUP($D7&amp;"-1",Stückliste!$A$2:$F$50,5,0)*(1+VLOOKUP($D7&amp;"-1",Stückliste!$A$2:$F$50,6,0)),1))</f>
        <v>20.8</v>
      </c>
      <c r="U7" s="1" t="str">
        <f>IFERROR(VLOOKUP($D7&amp;"-2",Stückliste!$A$2:$F$50,4,0),"")</f>
        <v/>
      </c>
      <c r="V7" s="21">
        <f>IF(U7="",0,ROUNDUP(E7*VLOOKUP($D7&amp;"-2",Stückliste!$A$2:$F$50,5,0)*(1+VLOOKUP($D7&amp;"-2",Stückliste!$A$2:$F$50,6,0)),1))</f>
        <v>0</v>
      </c>
    </row>
    <row r="8" spans="1:22" ht="15" customHeight="1" x14ac:dyDescent="0.3">
      <c r="A8" s="18" t="s">
        <v>303</v>
      </c>
      <c r="B8" s="18" t="s">
        <v>291</v>
      </c>
      <c r="C8" s="18" t="s">
        <v>71</v>
      </c>
      <c r="D8" s="18" t="s">
        <v>172</v>
      </c>
      <c r="E8" s="25">
        <v>350</v>
      </c>
      <c r="F8" s="15">
        <v>46304</v>
      </c>
      <c r="G8" s="1" t="str">
        <f>IFERROR(VLOOKUP($D8,Artikel!$A$2:$H$60,2,0),"??")</f>
        <v>Welle Ø20x200 1.4301</v>
      </c>
      <c r="H8" s="1" t="str">
        <f>VLOOKUP($D8,Artikel!$A$2:$H$60,3,0)</f>
        <v>1.4301</v>
      </c>
      <c r="I8" s="1" t="str">
        <f>VLOOKUP($D8,Artikel!$A$2:$H$60,4,0)</f>
        <v>M1</v>
      </c>
      <c r="J8" s="21">
        <f>E8*VLOOKUP($D8,Artikel!$A$2:$H$60,5,0)/60</f>
        <v>26.25</v>
      </c>
      <c r="K8" s="24">
        <f>VLOOKUP($D8,Artikel!$A$2:$H$60,6,0)+IF(AND(H8="Alu",E8&gt;Parameter!$B$8),Parameter!$B$7,0)</f>
        <v>45</v>
      </c>
      <c r="L8" s="21">
        <f t="shared" si="0"/>
        <v>27</v>
      </c>
      <c r="M8" s="24">
        <f t="shared" si="1"/>
        <v>41</v>
      </c>
      <c r="N8" s="24">
        <f t="shared" si="2"/>
        <v>39</v>
      </c>
      <c r="O8" s="14"/>
      <c r="P8" s="24">
        <f t="shared" si="3"/>
        <v>39</v>
      </c>
      <c r="Q8" s="18" t="s">
        <v>304</v>
      </c>
      <c r="R8" s="18"/>
      <c r="S8" s="1" t="str">
        <f>IFERROR(VLOOKUP($D8&amp;"-1",Stückliste!$A$2:$F$50,4,0),"")</f>
        <v>RM-101</v>
      </c>
      <c r="T8" s="21">
        <f>IF(S8="",0,ROUNDUP(E8*VLOOKUP($D8&amp;"-1",Stückliste!$A$2:$F$50,5,0)*(1+VLOOKUP($D8&amp;"-1",Stückliste!$A$2:$F$50,6,0)),1))</f>
        <v>13.299999999999999</v>
      </c>
      <c r="U8" s="1" t="str">
        <f>IFERROR(VLOOKUP($D8&amp;"-2",Stückliste!$A$2:$F$50,4,0),"")</f>
        <v/>
      </c>
      <c r="V8" s="21">
        <f>IF(U8="",0,ROUNDUP(E8*VLOOKUP($D8&amp;"-2",Stückliste!$A$2:$F$50,5,0)*(1+VLOOKUP($D8&amp;"-2",Stückliste!$A$2:$F$50,6,0)),1))</f>
        <v>0</v>
      </c>
    </row>
    <row r="9" spans="1:22" ht="15" customHeight="1" x14ac:dyDescent="0.3">
      <c r="A9" s="18" t="s">
        <v>305</v>
      </c>
      <c r="B9" s="18" t="s">
        <v>306</v>
      </c>
      <c r="C9" s="18" t="s">
        <v>81</v>
      </c>
      <c r="D9" s="18" t="s">
        <v>204</v>
      </c>
      <c r="E9" s="25">
        <v>240</v>
      </c>
      <c r="F9" s="15">
        <v>46297</v>
      </c>
      <c r="G9" s="1" t="str">
        <f>IFERROR(VLOOKUP($D9,Artikel!$A$2:$H$60,2,0),"??")</f>
        <v>Deckel D12 GG25</v>
      </c>
      <c r="H9" s="1" t="str">
        <f>VLOOKUP($D9,Artikel!$A$2:$H$60,3,0)</f>
        <v>GG25</v>
      </c>
      <c r="I9" s="1" t="str">
        <f>VLOOKUP($D9,Artikel!$A$2:$H$60,4,0)</f>
        <v>M3</v>
      </c>
      <c r="J9" s="21">
        <f>E9*VLOOKUP($D9,Artikel!$A$2:$H$60,5,0)/60</f>
        <v>22</v>
      </c>
      <c r="K9" s="24">
        <f>VLOOKUP($D9,Artikel!$A$2:$H$60,6,0)+IF(AND(H9="Alu",E9&gt;Parameter!$B$8),Parameter!$B$7,0)</f>
        <v>60</v>
      </c>
      <c r="L9" s="21">
        <f t="shared" si="0"/>
        <v>23</v>
      </c>
      <c r="M9" s="24">
        <f t="shared" si="1"/>
        <v>40</v>
      </c>
      <c r="N9" s="24">
        <f t="shared" si="2"/>
        <v>39</v>
      </c>
      <c r="O9" s="14"/>
      <c r="P9" s="24">
        <f t="shared" si="3"/>
        <v>39</v>
      </c>
      <c r="Q9" s="18" t="s">
        <v>304</v>
      </c>
      <c r="R9" s="18"/>
      <c r="S9" s="1" t="str">
        <f>IFERROR(VLOOKUP($D9&amp;"-1",Stückliste!$A$2:$F$50,4,0),"")</f>
        <v>RM-110</v>
      </c>
      <c r="T9" s="21">
        <f>IF(S9="",0,ROUNDUP(E9*VLOOKUP($D9&amp;"-1",Stückliste!$A$2:$F$50,5,0)*(1+VLOOKUP($D9&amp;"-1",Stückliste!$A$2:$F$50,6,0)),1))</f>
        <v>240</v>
      </c>
      <c r="U9" s="1" t="str">
        <f>IFERROR(VLOOKUP($D9&amp;"-2",Stückliste!$A$2:$F$50,4,0),"")</f>
        <v/>
      </c>
      <c r="V9" s="21">
        <f>IF(U9="",0,ROUNDUP(E9*VLOOKUP($D9&amp;"-2",Stückliste!$A$2:$F$50,5,0)*(1+VLOOKUP($D9&amp;"-2",Stückliste!$A$2:$F$50,6,0)),1))</f>
        <v>0</v>
      </c>
    </row>
    <row r="10" spans="1:22" ht="15" customHeight="1" x14ac:dyDescent="0.3">
      <c r="A10" s="18" t="s">
        <v>307</v>
      </c>
      <c r="B10" s="18" t="s">
        <v>308</v>
      </c>
      <c r="C10" s="18" t="s">
        <v>87</v>
      </c>
      <c r="D10" s="18" t="s">
        <v>194</v>
      </c>
      <c r="E10" s="25">
        <v>48</v>
      </c>
      <c r="F10" s="15">
        <v>46297</v>
      </c>
      <c r="G10" s="1" t="str">
        <f>IFERROR(VLOOKUP($D10,Artikel!$A$2:$H$60,2,0),"??")</f>
        <v>Adapterplatte 200x150 Alu</v>
      </c>
      <c r="H10" s="1" t="str">
        <f>VLOOKUP($D10,Artikel!$A$2:$H$60,3,0)</f>
        <v>Alu</v>
      </c>
      <c r="I10" s="1" t="str">
        <f>VLOOKUP($D10,Artikel!$A$2:$H$60,4,0)</f>
        <v>M4</v>
      </c>
      <c r="J10" s="21">
        <f>E10*VLOOKUP($D10,Artikel!$A$2:$H$60,5,0)/60</f>
        <v>9.6</v>
      </c>
      <c r="K10" s="24">
        <f>VLOOKUP($D10,Artikel!$A$2:$H$60,6,0)+IF(AND(H10="Alu",E10&gt;Parameter!$B$8),Parameter!$B$7,0)</f>
        <v>75</v>
      </c>
      <c r="L10" s="21">
        <f t="shared" si="0"/>
        <v>10.85</v>
      </c>
      <c r="M10" s="24">
        <f t="shared" si="1"/>
        <v>40</v>
      </c>
      <c r="N10" s="24">
        <f t="shared" si="2"/>
        <v>39</v>
      </c>
      <c r="O10" s="14"/>
      <c r="P10" s="24">
        <f t="shared" si="3"/>
        <v>39</v>
      </c>
      <c r="Q10" s="18" t="s">
        <v>301</v>
      </c>
      <c r="R10" s="18"/>
      <c r="S10" s="1" t="str">
        <f>IFERROR(VLOOKUP($D10&amp;"-1",Stückliste!$A$2:$F$50,4,0),"")</f>
        <v>RM-107</v>
      </c>
      <c r="T10" s="21">
        <f>IF(S10="",0,ROUNDUP(E10*VLOOKUP($D10&amp;"-1",Stückliste!$A$2:$F$50,5,0)*(1+VLOOKUP($D10&amp;"-1",Stückliste!$A$2:$F$50,6,0)),1))</f>
        <v>3.3</v>
      </c>
      <c r="U10" s="1" t="str">
        <f>IFERROR(VLOOKUP($D10&amp;"-2",Stückliste!$A$2:$F$50,4,0),"")</f>
        <v/>
      </c>
      <c r="V10" s="21">
        <f>IF(U10="",0,ROUNDUP(E10*VLOOKUP($D10&amp;"-2",Stückliste!$A$2:$F$50,5,0)*(1+VLOOKUP($D10&amp;"-2",Stückliste!$A$2:$F$50,6,0)),1))</f>
        <v>0</v>
      </c>
    </row>
    <row r="11" spans="1:22" ht="15" customHeight="1" x14ac:dyDescent="0.3">
      <c r="A11" s="18" t="s">
        <v>309</v>
      </c>
      <c r="B11" s="18" t="s">
        <v>310</v>
      </c>
      <c r="C11" s="18" t="s">
        <v>71</v>
      </c>
      <c r="D11" s="18" t="s">
        <v>177</v>
      </c>
      <c r="E11" s="25">
        <v>80</v>
      </c>
      <c r="F11" s="15">
        <v>46304</v>
      </c>
      <c r="G11" s="1" t="str">
        <f>IFERROR(VLOOKUP($D11,Artikel!$A$2:$H$60,2,0),"??")</f>
        <v>Welle Ø40x350 1.4301</v>
      </c>
      <c r="H11" s="1" t="str">
        <f>VLOOKUP($D11,Artikel!$A$2:$H$60,3,0)</f>
        <v>1.4301</v>
      </c>
      <c r="I11" s="1" t="str">
        <f>VLOOKUP($D11,Artikel!$A$2:$H$60,4,0)</f>
        <v>M1</v>
      </c>
      <c r="J11" s="21">
        <f>E11*VLOOKUP($D11,Artikel!$A$2:$H$60,5,0)/60</f>
        <v>12</v>
      </c>
      <c r="K11" s="24">
        <f>VLOOKUP($D11,Artikel!$A$2:$H$60,6,0)+IF(AND(H11="Alu",E11&gt;Parameter!$B$8),Parameter!$B$7,0)</f>
        <v>60</v>
      </c>
      <c r="L11" s="21">
        <f t="shared" si="0"/>
        <v>13</v>
      </c>
      <c r="M11" s="24">
        <f t="shared" si="1"/>
        <v>41</v>
      </c>
      <c r="N11" s="24">
        <f t="shared" si="2"/>
        <v>39</v>
      </c>
      <c r="O11" s="14"/>
      <c r="P11" s="24">
        <f t="shared" si="3"/>
        <v>39</v>
      </c>
      <c r="Q11" s="18" t="s">
        <v>301</v>
      </c>
      <c r="R11" s="18"/>
      <c r="S11" s="1" t="str">
        <f>IFERROR(VLOOKUP($D11&amp;"-1",Stückliste!$A$2:$F$50,4,0),"")</f>
        <v>RM-102</v>
      </c>
      <c r="T11" s="21">
        <f>IF(S11="",0,ROUNDUP(E11*VLOOKUP($D11&amp;"-1",Stückliste!$A$2:$F$50,5,0)*(1+VLOOKUP($D11&amp;"-1",Stückliste!$A$2:$F$50,6,0)),1))</f>
        <v>5.3</v>
      </c>
      <c r="U11" s="1" t="str">
        <f>IFERROR(VLOOKUP($D11&amp;"-2",Stückliste!$A$2:$F$50,4,0),"")</f>
        <v/>
      </c>
      <c r="V11" s="21">
        <f>IF(U11="",0,ROUNDUP(E11*VLOOKUP($D11&amp;"-2",Stückliste!$A$2:$F$50,5,0)*(1+VLOOKUP($D11&amp;"-2",Stückliste!$A$2:$F$50,6,0)),1))</f>
        <v>0</v>
      </c>
    </row>
    <row r="12" spans="1:22" ht="15" customHeight="1" x14ac:dyDescent="0.3">
      <c r="A12" s="18" t="s">
        <v>311</v>
      </c>
      <c r="B12" s="18" t="s">
        <v>312</v>
      </c>
      <c r="C12" s="18" t="s">
        <v>81</v>
      </c>
      <c r="D12" s="18" t="s">
        <v>237</v>
      </c>
      <c r="E12" s="25">
        <v>500</v>
      </c>
      <c r="F12" s="15">
        <v>46297</v>
      </c>
      <c r="G12" s="1" t="str">
        <f>IFERROR(VLOOKUP($D12,Artikel!$A$2:$H$60,2,0),"??")</f>
        <v>Spannbolzen Ø30 S235 vernickelt</v>
      </c>
      <c r="H12" s="1" t="str">
        <f>VLOOKUP($D12,Artikel!$A$2:$H$60,3,0)</f>
        <v>S235JR</v>
      </c>
      <c r="I12" s="1" t="str">
        <f>VLOOKUP($D12,Artikel!$A$2:$H$60,4,0)</f>
        <v>M2</v>
      </c>
      <c r="J12" s="21">
        <f>E12*VLOOKUP($D12,Artikel!$A$2:$H$60,5,0)/60</f>
        <v>25</v>
      </c>
      <c r="K12" s="24">
        <f>VLOOKUP($D12,Artikel!$A$2:$H$60,6,0)+IF(AND(H12="Alu",E12&gt;Parameter!$B$8),Parameter!$B$7,0)</f>
        <v>30</v>
      </c>
      <c r="L12" s="21">
        <f t="shared" si="0"/>
        <v>25.5</v>
      </c>
      <c r="M12" s="24">
        <f t="shared" si="1"/>
        <v>40</v>
      </c>
      <c r="N12" s="24">
        <f t="shared" si="2"/>
        <v>39</v>
      </c>
      <c r="O12" s="14"/>
      <c r="P12" s="24">
        <f t="shared" si="3"/>
        <v>39</v>
      </c>
      <c r="Q12" s="18" t="s">
        <v>301</v>
      </c>
      <c r="R12" s="18"/>
      <c r="S12" s="1" t="str">
        <f>IFERROR(VLOOKUP($D12&amp;"-1",Stückliste!$A$2:$F$50,4,0),"")</f>
        <v>RM-103</v>
      </c>
      <c r="T12" s="21">
        <f>IF(S12="",0,ROUNDUP(E12*VLOOKUP($D12&amp;"-1",Stückliste!$A$2:$F$50,5,0)*(1+VLOOKUP($D12&amp;"-1",Stückliste!$A$2:$F$50,6,0)),1))</f>
        <v>12.1</v>
      </c>
      <c r="U12" s="1" t="str">
        <f>IFERROR(VLOOKUP($D12&amp;"-2",Stückliste!$A$2:$F$50,4,0),"")</f>
        <v/>
      </c>
      <c r="V12" s="21">
        <f>IF(U12="",0,ROUNDUP(E12*VLOOKUP($D12&amp;"-2",Stückliste!$A$2:$F$50,5,0)*(1+VLOOKUP($D12&amp;"-2",Stückliste!$A$2:$F$50,6,0)),1))</f>
        <v>0</v>
      </c>
    </row>
    <row r="13" spans="1:22" ht="15" customHeight="1" x14ac:dyDescent="0.3">
      <c r="A13" s="18" t="s">
        <v>313</v>
      </c>
      <c r="B13" s="18" t="s">
        <v>297</v>
      </c>
      <c r="C13" s="18" t="s">
        <v>81</v>
      </c>
      <c r="D13" s="18" t="s">
        <v>191</v>
      </c>
      <c r="E13" s="25">
        <v>180</v>
      </c>
      <c r="F13" s="15">
        <v>46297</v>
      </c>
      <c r="G13" s="1" t="str">
        <f>IFERROR(VLOOKUP($D13,Artikel!$A$2:$H$60,2,0),"??")</f>
        <v>Flansch DN80 Alu</v>
      </c>
      <c r="H13" s="1" t="str">
        <f>VLOOKUP($D13,Artikel!$A$2:$H$60,3,0)</f>
        <v>Alu</v>
      </c>
      <c r="I13" s="1" t="str">
        <f>VLOOKUP($D13,Artikel!$A$2:$H$60,4,0)</f>
        <v>M3</v>
      </c>
      <c r="J13" s="21">
        <f>E13*VLOOKUP($D13,Artikel!$A$2:$H$60,5,0)/60</f>
        <v>24</v>
      </c>
      <c r="K13" s="24">
        <f>VLOOKUP($D13,Artikel!$A$2:$H$60,6,0)+IF(AND(H13="Alu",E13&gt;Parameter!$B$8),Parameter!$B$7,0)</f>
        <v>50</v>
      </c>
      <c r="L13" s="21">
        <f t="shared" si="0"/>
        <v>24.833333333333332</v>
      </c>
      <c r="M13" s="24">
        <f t="shared" si="1"/>
        <v>40</v>
      </c>
      <c r="N13" s="24">
        <f t="shared" si="2"/>
        <v>39</v>
      </c>
      <c r="O13" s="14"/>
      <c r="P13" s="24">
        <f t="shared" si="3"/>
        <v>39</v>
      </c>
      <c r="Q13" s="18" t="s">
        <v>301</v>
      </c>
      <c r="R13" s="18"/>
      <c r="S13" s="1" t="str">
        <f>IFERROR(VLOOKUP($D13&amp;"-1",Stückliste!$A$2:$F$50,4,0),"")</f>
        <v>RM-107</v>
      </c>
      <c r="T13" s="21">
        <f>IF(S13="",0,ROUNDUP(E13*VLOOKUP($D13&amp;"-1",Stückliste!$A$2:$F$50,5,0)*(1+VLOOKUP($D13&amp;"-1",Stückliste!$A$2:$F$50,6,0)),1))</f>
        <v>5</v>
      </c>
      <c r="U13" s="1" t="str">
        <f>IFERROR(VLOOKUP($D13&amp;"-2",Stückliste!$A$2:$F$50,4,0),"")</f>
        <v/>
      </c>
      <c r="V13" s="21">
        <f>IF(U13="",0,ROUNDUP(E13*VLOOKUP($D13&amp;"-2",Stückliste!$A$2:$F$50,5,0)*(1+VLOOKUP($D13&amp;"-2",Stückliste!$A$2:$F$50,6,0)),1))</f>
        <v>0</v>
      </c>
    </row>
    <row r="14" spans="1:22" ht="15" customHeight="1" x14ac:dyDescent="0.3">
      <c r="A14" s="18" t="s">
        <v>314</v>
      </c>
      <c r="B14" s="18" t="s">
        <v>315</v>
      </c>
      <c r="C14" s="18" t="s">
        <v>81</v>
      </c>
      <c r="D14" s="18" t="s">
        <v>231</v>
      </c>
      <c r="E14" s="25">
        <v>60</v>
      </c>
      <c r="F14" s="15">
        <v>46297</v>
      </c>
      <c r="G14" s="1" t="str">
        <f>IFERROR(VLOOKUP($D14,Artikel!$A$2:$H$60,2,0),"??")</f>
        <v>Zwischenplatte 20 Alu</v>
      </c>
      <c r="H14" s="1" t="str">
        <f>VLOOKUP($D14,Artikel!$A$2:$H$60,3,0)</f>
        <v>Alu</v>
      </c>
      <c r="I14" s="1" t="str">
        <f>VLOOKUP($D14,Artikel!$A$2:$H$60,4,0)</f>
        <v>M4</v>
      </c>
      <c r="J14" s="21">
        <f>E14*VLOOKUP($D14,Artikel!$A$2:$H$60,5,0)/60</f>
        <v>9</v>
      </c>
      <c r="K14" s="24">
        <f>VLOOKUP($D14,Artikel!$A$2:$H$60,6,0)+IF(AND(H14="Alu",E14&gt;Parameter!$B$8),Parameter!$B$7,0)</f>
        <v>70</v>
      </c>
      <c r="L14" s="21">
        <f t="shared" si="0"/>
        <v>10.166666666666666</v>
      </c>
      <c r="M14" s="24">
        <f t="shared" si="1"/>
        <v>40</v>
      </c>
      <c r="N14" s="24">
        <f t="shared" si="2"/>
        <v>39</v>
      </c>
      <c r="O14" s="14"/>
      <c r="P14" s="24">
        <f t="shared" si="3"/>
        <v>39</v>
      </c>
      <c r="Q14" s="18" t="s">
        <v>301</v>
      </c>
      <c r="R14" s="18"/>
      <c r="S14" s="1" t="str">
        <f>IFERROR(VLOOKUP($D14&amp;"-1",Stückliste!$A$2:$F$50,4,0),"")</f>
        <v>RM-107</v>
      </c>
      <c r="T14" s="21">
        <f>IF(S14="",0,ROUNDUP(E14*VLOOKUP($D14&amp;"-1",Stückliste!$A$2:$F$50,5,0)*(1+VLOOKUP($D14&amp;"-1",Stückliste!$A$2:$F$50,6,0)),1))</f>
        <v>6.6</v>
      </c>
      <c r="U14" s="1" t="str">
        <f>IFERROR(VLOOKUP($D14&amp;"-2",Stückliste!$A$2:$F$50,4,0),"")</f>
        <v/>
      </c>
      <c r="V14" s="21">
        <f>IF(U14="",0,ROUNDUP(E14*VLOOKUP($D14&amp;"-2",Stückliste!$A$2:$F$50,5,0)*(1+VLOOKUP($D14&amp;"-2",Stückliste!$A$2:$F$50,6,0)),1))</f>
        <v>0</v>
      </c>
    </row>
    <row r="15" spans="1:22" ht="15" customHeight="1" x14ac:dyDescent="0.3">
      <c r="A15" s="18" t="s">
        <v>316</v>
      </c>
      <c r="B15" s="18" t="s">
        <v>317</v>
      </c>
      <c r="C15" s="18" t="s">
        <v>87</v>
      </c>
      <c r="D15" s="18" t="s">
        <v>207</v>
      </c>
      <c r="E15" s="25">
        <v>2000</v>
      </c>
      <c r="F15" s="15">
        <v>46304</v>
      </c>
      <c r="G15" s="1" t="str">
        <f>IFERROR(VLOOKUP($D15,Artikel!$A$2:$H$60,2,0),"??")</f>
        <v>Sechskantmutter M10 Ms</v>
      </c>
      <c r="H15" s="1" t="str">
        <f>VLOOKUP($D15,Artikel!$A$2:$H$60,3,0)</f>
        <v>Messing</v>
      </c>
      <c r="I15" s="1" t="str">
        <f>VLOOKUP($D15,Artikel!$A$2:$H$60,4,0)</f>
        <v>M2</v>
      </c>
      <c r="J15" s="21">
        <f>E15*VLOOKUP($D15,Artikel!$A$2:$H$60,5,0)/60</f>
        <v>30</v>
      </c>
      <c r="K15" s="24">
        <f>VLOOKUP($D15,Artikel!$A$2:$H$60,6,0)+IF(AND(H15="Alu",E15&gt;Parameter!$B$8),Parameter!$B$7,0)</f>
        <v>25</v>
      </c>
      <c r="L15" s="21">
        <f t="shared" si="0"/>
        <v>30.416666666666668</v>
      </c>
      <c r="M15" s="24">
        <f t="shared" si="1"/>
        <v>41</v>
      </c>
      <c r="N15" s="24">
        <f t="shared" si="2"/>
        <v>40</v>
      </c>
      <c r="O15" s="14"/>
      <c r="P15" s="24">
        <f t="shared" si="3"/>
        <v>40</v>
      </c>
      <c r="Q15" s="18" t="s">
        <v>301</v>
      </c>
      <c r="R15" s="18"/>
      <c r="S15" s="1" t="str">
        <f>IFERROR(VLOOKUP($D15&amp;"-1",Stückliste!$A$2:$F$50,4,0),"")</f>
        <v>RM-111</v>
      </c>
      <c r="T15" s="21">
        <f>IF(S15="",0,ROUNDUP(E15*VLOOKUP($D15&amp;"-1",Stückliste!$A$2:$F$50,5,0)*(1+VLOOKUP($D15&amp;"-1",Stückliste!$A$2:$F$50,6,0)),1))</f>
        <v>8.4</v>
      </c>
      <c r="U15" s="1" t="str">
        <f>IFERROR(VLOOKUP($D15&amp;"-2",Stückliste!$A$2:$F$50,4,0),"")</f>
        <v/>
      </c>
      <c r="V15" s="21">
        <f>IF(U15="",0,ROUNDUP(E15*VLOOKUP($D15&amp;"-2",Stückliste!$A$2:$F$50,5,0)*(1+VLOOKUP($D15&amp;"-2",Stückliste!$A$2:$F$50,6,0)),1))</f>
        <v>0</v>
      </c>
    </row>
    <row r="16" spans="1:22" ht="15" customHeight="1" x14ac:dyDescent="0.3">
      <c r="A16" s="18" t="s">
        <v>318</v>
      </c>
      <c r="B16" s="18" t="s">
        <v>291</v>
      </c>
      <c r="C16" s="18" t="s">
        <v>71</v>
      </c>
      <c r="D16" s="18" t="s">
        <v>228</v>
      </c>
      <c r="E16" s="25">
        <v>150</v>
      </c>
      <c r="F16" s="15">
        <v>46311</v>
      </c>
      <c r="G16" s="1" t="str">
        <f>IFERROR(VLOOKUP($D16,Artikel!$A$2:$H$60,2,0),"??")</f>
        <v>Nabe Ø80 Alu</v>
      </c>
      <c r="H16" s="1" t="str">
        <f>VLOOKUP($D16,Artikel!$A$2:$H$60,3,0)</f>
        <v>Alu</v>
      </c>
      <c r="I16" s="1" t="str">
        <f>VLOOKUP($D16,Artikel!$A$2:$H$60,4,0)</f>
        <v>M1</v>
      </c>
      <c r="J16" s="21">
        <f>E16*VLOOKUP($D16,Artikel!$A$2:$H$60,5,0)/60</f>
        <v>18.75</v>
      </c>
      <c r="K16" s="24">
        <f>VLOOKUP($D16,Artikel!$A$2:$H$60,6,0)+IF(AND(H16="Alu",E16&gt;Parameter!$B$8),Parameter!$B$7,0)</f>
        <v>55</v>
      </c>
      <c r="L16" s="21">
        <f t="shared" si="0"/>
        <v>19.666666666666668</v>
      </c>
      <c r="M16" s="24">
        <f t="shared" si="1"/>
        <v>42</v>
      </c>
      <c r="N16" s="24">
        <f t="shared" si="2"/>
        <v>40</v>
      </c>
      <c r="O16" s="14"/>
      <c r="P16" s="24">
        <f t="shared" si="3"/>
        <v>40</v>
      </c>
      <c r="Q16" s="18" t="s">
        <v>301</v>
      </c>
      <c r="R16" s="18"/>
      <c r="S16" s="1" t="str">
        <f>IFERROR(VLOOKUP($D16&amp;"-1",Stückliste!$A$2:$F$50,4,0),"")</f>
        <v>RM-106</v>
      </c>
      <c r="T16" s="21">
        <f>IF(S16="",0,ROUNDUP(E16*VLOOKUP($D16&amp;"-1",Stückliste!$A$2:$F$50,5,0)*(1+VLOOKUP($D16&amp;"-1",Stückliste!$A$2:$F$50,6,0)),1))</f>
        <v>3.9</v>
      </c>
      <c r="U16" s="1" t="str">
        <f>IFERROR(VLOOKUP($D16&amp;"-2",Stückliste!$A$2:$F$50,4,0),"")</f>
        <v/>
      </c>
      <c r="V16" s="21">
        <f>IF(U16="",0,ROUNDUP(E16*VLOOKUP($D16&amp;"-2",Stückliste!$A$2:$F$50,5,0)*(1+VLOOKUP($D16&amp;"-2",Stückliste!$A$2:$F$50,6,0)),1))</f>
        <v>0</v>
      </c>
    </row>
    <row r="17" spans="1:22" ht="15" customHeight="1" x14ac:dyDescent="0.3">
      <c r="A17" s="18" t="s">
        <v>319</v>
      </c>
      <c r="B17" s="18" t="s">
        <v>295</v>
      </c>
      <c r="C17" s="18" t="s">
        <v>81</v>
      </c>
      <c r="D17" s="18" t="s">
        <v>200</v>
      </c>
      <c r="E17" s="25">
        <v>40</v>
      </c>
      <c r="F17" s="15">
        <v>46304</v>
      </c>
      <c r="G17" s="1" t="str">
        <f>IFERROR(VLOOKUP($D17,Artikel!$A$2:$H$60,2,0),"??")</f>
        <v>Gehäuse G12 GG25</v>
      </c>
      <c r="H17" s="1" t="str">
        <f>VLOOKUP($D17,Artikel!$A$2:$H$60,3,0)</f>
        <v>GG25</v>
      </c>
      <c r="I17" s="1" t="str">
        <f>VLOOKUP($D17,Artikel!$A$2:$H$60,4,0)</f>
        <v>M4</v>
      </c>
      <c r="J17" s="21">
        <f>E17*VLOOKUP($D17,Artikel!$A$2:$H$60,5,0)/60</f>
        <v>12</v>
      </c>
      <c r="K17" s="24">
        <f>VLOOKUP($D17,Artikel!$A$2:$H$60,6,0)+IF(AND(H17="Alu",E17&gt;Parameter!$B$8),Parameter!$B$7,0)</f>
        <v>120</v>
      </c>
      <c r="L17" s="21">
        <f t="shared" si="0"/>
        <v>14</v>
      </c>
      <c r="M17" s="24">
        <f t="shared" si="1"/>
        <v>41</v>
      </c>
      <c r="N17" s="24">
        <f t="shared" si="2"/>
        <v>40</v>
      </c>
      <c r="O17" s="14"/>
      <c r="P17" s="24">
        <f t="shared" si="3"/>
        <v>40</v>
      </c>
      <c r="Q17" s="18" t="s">
        <v>301</v>
      </c>
      <c r="R17" s="18" t="s">
        <v>320</v>
      </c>
      <c r="S17" s="1" t="str">
        <f>IFERROR(VLOOKUP($D17&amp;"-1",Stückliste!$A$2:$F$50,4,0),"")</f>
        <v>RM-109</v>
      </c>
      <c r="T17" s="21">
        <f>IF(S17="",0,ROUNDUP(E17*VLOOKUP($D17&amp;"-1",Stückliste!$A$2:$F$50,5,0)*(1+VLOOKUP($D17&amp;"-1",Stückliste!$A$2:$F$50,6,0)),1))</f>
        <v>40</v>
      </c>
      <c r="U17" s="1" t="str">
        <f>IFERROR(VLOOKUP($D17&amp;"-2",Stückliste!$A$2:$F$50,4,0),"")</f>
        <v/>
      </c>
      <c r="V17" s="21">
        <f>IF(U17="",0,ROUNDUP(E17*VLOOKUP($D17&amp;"-2",Stückliste!$A$2:$F$50,5,0)*(1+VLOOKUP($D17&amp;"-2",Stückliste!$A$2:$F$50,6,0)),1))</f>
        <v>0</v>
      </c>
    </row>
    <row r="18" spans="1:22" ht="15" customHeight="1" x14ac:dyDescent="0.3">
      <c r="A18" s="18" t="s">
        <v>321</v>
      </c>
      <c r="B18" s="18" t="s">
        <v>306</v>
      </c>
      <c r="C18" s="18" t="s">
        <v>81</v>
      </c>
      <c r="D18" s="18" t="s">
        <v>187</v>
      </c>
      <c r="E18" s="25">
        <v>620</v>
      </c>
      <c r="F18" s="15">
        <v>46304</v>
      </c>
      <c r="G18" s="1" t="str">
        <f>IFERROR(VLOOKUP($D18,Artikel!$A$2:$H$60,2,0),"??")</f>
        <v>Flansch DN50 Alu</v>
      </c>
      <c r="H18" s="1" t="str">
        <f>VLOOKUP($D18,Artikel!$A$2:$H$60,3,0)</f>
        <v>Alu</v>
      </c>
      <c r="I18" s="1" t="str">
        <f>VLOOKUP($D18,Artikel!$A$2:$H$60,4,0)</f>
        <v>M3</v>
      </c>
      <c r="J18" s="21">
        <f>E18*VLOOKUP($D18,Artikel!$A$2:$H$60,5,0)/60</f>
        <v>41.333333333333336</v>
      </c>
      <c r="K18" s="24">
        <f>VLOOKUP($D18,Artikel!$A$2:$H$60,6,0)+IF(AND(H18="Alu",E18&gt;Parameter!$B$8),Parameter!$B$7,0)</f>
        <v>90</v>
      </c>
      <c r="L18" s="21">
        <f t="shared" si="0"/>
        <v>42.833333333333336</v>
      </c>
      <c r="M18" s="24">
        <f t="shared" si="1"/>
        <v>41</v>
      </c>
      <c r="N18" s="24">
        <f t="shared" si="2"/>
        <v>40</v>
      </c>
      <c r="O18" s="14"/>
      <c r="P18" s="24">
        <f t="shared" si="3"/>
        <v>40</v>
      </c>
      <c r="Q18" s="18" t="s">
        <v>301</v>
      </c>
      <c r="R18" s="18" t="s">
        <v>322</v>
      </c>
      <c r="S18" s="1" t="str">
        <f>IFERROR(VLOOKUP($D18&amp;"-1",Stückliste!$A$2:$F$50,4,0),"")</f>
        <v>RM-106</v>
      </c>
      <c r="T18" s="21">
        <f>IF(S18="",0,ROUNDUP(E18*VLOOKUP($D18&amp;"-1",Stückliste!$A$2:$F$50,5,0)*(1+VLOOKUP($D18&amp;"-1",Stückliste!$A$2:$F$50,6,0)),1))</f>
        <v>9.4</v>
      </c>
      <c r="U18" s="1" t="str">
        <f>IFERROR(VLOOKUP($D18&amp;"-2",Stückliste!$A$2:$F$50,4,0),"")</f>
        <v/>
      </c>
      <c r="V18" s="21">
        <f>IF(U18="",0,ROUNDUP(E18*VLOOKUP($D18&amp;"-2",Stückliste!$A$2:$F$50,5,0)*(1+VLOOKUP($D18&amp;"-2",Stückliste!$A$2:$F$50,6,0)),1))</f>
        <v>0</v>
      </c>
    </row>
    <row r="19" spans="1:22" ht="15" customHeight="1" x14ac:dyDescent="0.3">
      <c r="A19" s="18" t="s">
        <v>323</v>
      </c>
      <c r="B19" s="18" t="s">
        <v>300</v>
      </c>
      <c r="C19" s="18" t="s">
        <v>81</v>
      </c>
      <c r="D19" s="18" t="s">
        <v>184</v>
      </c>
      <c r="E19" s="25">
        <v>90</v>
      </c>
      <c r="F19" s="15">
        <v>46304</v>
      </c>
      <c r="G19" s="1" t="str">
        <f>IFERROR(VLOOKUP($D19,Artikel!$A$2:$H$60,2,0),"??")</f>
        <v>Achse Ø60x400 S235</v>
      </c>
      <c r="H19" s="1" t="str">
        <f>VLOOKUP($D19,Artikel!$A$2:$H$60,3,0)</f>
        <v>S235JR</v>
      </c>
      <c r="I19" s="1" t="str">
        <f>VLOOKUP($D19,Artikel!$A$2:$H$60,4,0)</f>
        <v>M2</v>
      </c>
      <c r="J19" s="21">
        <f>E19*VLOOKUP($D19,Artikel!$A$2:$H$60,5,0)/60</f>
        <v>16.5</v>
      </c>
      <c r="K19" s="24">
        <f>VLOOKUP($D19,Artikel!$A$2:$H$60,6,0)+IF(AND(H19="Alu",E19&gt;Parameter!$B$8),Parameter!$B$7,0)</f>
        <v>60</v>
      </c>
      <c r="L19" s="21">
        <f t="shared" si="0"/>
        <v>17.5</v>
      </c>
      <c r="M19" s="24">
        <f t="shared" si="1"/>
        <v>41</v>
      </c>
      <c r="N19" s="24">
        <f t="shared" si="2"/>
        <v>40</v>
      </c>
      <c r="O19" s="14"/>
      <c r="P19" s="24">
        <f t="shared" si="3"/>
        <v>40</v>
      </c>
      <c r="Q19" s="18" t="s">
        <v>301</v>
      </c>
      <c r="R19" s="18"/>
      <c r="S19" s="1" t="str">
        <f>IFERROR(VLOOKUP($D19&amp;"-1",Stückliste!$A$2:$F$50,4,0),"")</f>
        <v>RM-104</v>
      </c>
      <c r="T19" s="21">
        <f>IF(S19="",0,ROUNDUP(E19*VLOOKUP($D19&amp;"-1",Stückliste!$A$2:$F$50,5,0)*(1+VLOOKUP($D19&amp;"-1",Stückliste!$A$2:$F$50,6,0)),1))</f>
        <v>6.6999999999999993</v>
      </c>
      <c r="U19" s="1" t="str">
        <f>IFERROR(VLOOKUP($D19&amp;"-2",Stückliste!$A$2:$F$50,4,0),"")</f>
        <v/>
      </c>
      <c r="V19" s="21">
        <f>IF(U19="",0,ROUNDUP(E19*VLOOKUP($D19&amp;"-2",Stückliste!$A$2:$F$50,5,0)*(1+VLOOKUP($D19&amp;"-2",Stückliste!$A$2:$F$50,6,0)),1))</f>
        <v>0</v>
      </c>
    </row>
    <row r="20" spans="1:22" ht="15" customHeight="1" x14ac:dyDescent="0.3">
      <c r="A20" s="18" t="s">
        <v>324</v>
      </c>
      <c r="B20" s="18" t="s">
        <v>308</v>
      </c>
      <c r="C20" s="18" t="s">
        <v>87</v>
      </c>
      <c r="D20" s="18" t="s">
        <v>197</v>
      </c>
      <c r="E20" s="25">
        <v>24</v>
      </c>
      <c r="F20" s="15">
        <v>46304</v>
      </c>
      <c r="G20" s="1" t="str">
        <f>IFERROR(VLOOKUP($D20,Artikel!$A$2:$H$60,2,0),"??")</f>
        <v>Grundplatte 400x300 Alu</v>
      </c>
      <c r="H20" s="1" t="str">
        <f>VLOOKUP($D20,Artikel!$A$2:$H$60,3,0)</f>
        <v>Alu</v>
      </c>
      <c r="I20" s="1" t="str">
        <f>VLOOKUP($D20,Artikel!$A$2:$H$60,4,0)</f>
        <v>M4</v>
      </c>
      <c r="J20" s="21">
        <f>E20*VLOOKUP($D20,Artikel!$A$2:$H$60,5,0)/60</f>
        <v>8.8000000000000007</v>
      </c>
      <c r="K20" s="24">
        <f>VLOOKUP($D20,Artikel!$A$2:$H$60,6,0)+IF(AND(H20="Alu",E20&gt;Parameter!$B$8),Parameter!$B$7,0)</f>
        <v>90</v>
      </c>
      <c r="L20" s="21">
        <f t="shared" si="0"/>
        <v>10.3</v>
      </c>
      <c r="M20" s="24">
        <f t="shared" si="1"/>
        <v>41</v>
      </c>
      <c r="N20" s="24">
        <f t="shared" si="2"/>
        <v>40</v>
      </c>
      <c r="O20" s="14"/>
      <c r="P20" s="24">
        <f t="shared" si="3"/>
        <v>40</v>
      </c>
      <c r="Q20" s="18" t="s">
        <v>301</v>
      </c>
      <c r="R20" s="18"/>
      <c r="S20" s="1" t="str">
        <f>IFERROR(VLOOKUP($D20&amp;"-1",Stückliste!$A$2:$F$50,4,0),"")</f>
        <v>RM-108</v>
      </c>
      <c r="T20" s="21">
        <f>IF(S20="",0,ROUNDUP(E20*VLOOKUP($D20&amp;"-1",Stückliste!$A$2:$F$50,5,0)*(1+VLOOKUP($D20&amp;"-1",Stückliste!$A$2:$F$50,6,0)),1))</f>
        <v>6.6</v>
      </c>
      <c r="U20" s="1" t="str">
        <f>IFERROR(VLOOKUP($D20&amp;"-2",Stückliste!$A$2:$F$50,4,0),"")</f>
        <v/>
      </c>
      <c r="V20" s="21">
        <f>IF(U20="",0,ROUNDUP(E20*VLOOKUP($D20&amp;"-2",Stückliste!$A$2:$F$50,5,0)*(1+VLOOKUP($D20&amp;"-2",Stückliste!$A$2:$F$50,6,0)),1))</f>
        <v>0</v>
      </c>
    </row>
    <row r="21" spans="1:22" ht="15" customHeight="1" x14ac:dyDescent="0.3">
      <c r="A21" s="18" t="s">
        <v>325</v>
      </c>
      <c r="B21" s="18" t="s">
        <v>310</v>
      </c>
      <c r="C21" s="18" t="s">
        <v>71</v>
      </c>
      <c r="D21" s="18" t="s">
        <v>225</v>
      </c>
      <c r="E21" s="25">
        <v>800</v>
      </c>
      <c r="F21" s="15">
        <v>46318</v>
      </c>
      <c r="G21" s="1" t="str">
        <f>IFERROR(VLOOKUP($D21,Artikel!$A$2:$H$60,2,0),"??")</f>
        <v>Distanzhülse Ø50 Alu</v>
      </c>
      <c r="H21" s="1" t="str">
        <f>VLOOKUP($D21,Artikel!$A$2:$H$60,3,0)</f>
        <v>Alu</v>
      </c>
      <c r="I21" s="1" t="str">
        <f>VLOOKUP($D21,Artikel!$A$2:$H$60,4,0)</f>
        <v>M1</v>
      </c>
      <c r="J21" s="21">
        <f>E21*VLOOKUP($D21,Artikel!$A$2:$H$60,5,0)/60</f>
        <v>42.666666666666664</v>
      </c>
      <c r="K21" s="24">
        <f>VLOOKUP($D21,Artikel!$A$2:$H$60,6,0)+IF(AND(H21="Alu",E21&gt;Parameter!$B$8),Parameter!$B$7,0)</f>
        <v>80</v>
      </c>
      <c r="L21" s="21">
        <f t="shared" si="0"/>
        <v>44</v>
      </c>
      <c r="M21" s="24">
        <f t="shared" si="1"/>
        <v>43</v>
      </c>
      <c r="N21" s="24">
        <f t="shared" si="2"/>
        <v>41</v>
      </c>
      <c r="O21" s="14"/>
      <c r="P21" s="24">
        <f t="shared" si="3"/>
        <v>41</v>
      </c>
      <c r="Q21" s="18" t="s">
        <v>301</v>
      </c>
      <c r="R21" s="18"/>
      <c r="S21" s="1" t="str">
        <f>IFERROR(VLOOKUP($D21&amp;"-1",Stückliste!$A$2:$F$50,4,0),"")</f>
        <v>RM-105</v>
      </c>
      <c r="T21" s="21">
        <f>IF(S21="",0,ROUNDUP(E21*VLOOKUP($D21&amp;"-1",Stückliste!$A$2:$F$50,5,0)*(1+VLOOKUP($D21&amp;"-1",Stückliste!$A$2:$F$50,6,0)),1))</f>
        <v>9.6</v>
      </c>
      <c r="U21" s="1" t="str">
        <f>IFERROR(VLOOKUP($D21&amp;"-2",Stückliste!$A$2:$F$50,4,0),"")</f>
        <v/>
      </c>
      <c r="V21" s="21">
        <f>IF(U21="",0,ROUNDUP(E21*VLOOKUP($D21&amp;"-2",Stückliste!$A$2:$F$50,5,0)*(1+VLOOKUP($D21&amp;"-2",Stückliste!$A$2:$F$50,6,0)),1))</f>
        <v>0</v>
      </c>
    </row>
    <row r="22" spans="1:22" ht="15" customHeight="1" x14ac:dyDescent="0.3">
      <c r="A22" s="18" t="s">
        <v>326</v>
      </c>
      <c r="B22" s="18" t="s">
        <v>312</v>
      </c>
      <c r="C22" s="18" t="s">
        <v>81</v>
      </c>
      <c r="D22" s="18" t="s">
        <v>221</v>
      </c>
      <c r="E22" s="25">
        <v>1500</v>
      </c>
      <c r="F22" s="15">
        <v>46311</v>
      </c>
      <c r="G22" s="1" t="str">
        <f>IFERROR(VLOOKUP($D22,Artikel!$A$2:$H$60,2,0),"??")</f>
        <v>Stift Ø16x80 1.4404</v>
      </c>
      <c r="H22" s="1" t="str">
        <f>VLOOKUP($D22,Artikel!$A$2:$H$60,3,0)</f>
        <v>1.4404</v>
      </c>
      <c r="I22" s="1" t="str">
        <f>VLOOKUP($D22,Artikel!$A$2:$H$60,4,0)</f>
        <v>M2</v>
      </c>
      <c r="J22" s="21">
        <f>E22*VLOOKUP($D22,Artikel!$A$2:$H$60,5,0)/60</f>
        <v>40</v>
      </c>
      <c r="K22" s="24">
        <f>VLOOKUP($D22,Artikel!$A$2:$H$60,6,0)+IF(AND(H22="Alu",E22&gt;Parameter!$B$8),Parameter!$B$7,0)</f>
        <v>30</v>
      </c>
      <c r="L22" s="21">
        <f t="shared" si="0"/>
        <v>40.5</v>
      </c>
      <c r="M22" s="24">
        <f t="shared" si="1"/>
        <v>42</v>
      </c>
      <c r="N22" s="24">
        <f t="shared" si="2"/>
        <v>41</v>
      </c>
      <c r="O22" s="14"/>
      <c r="P22" s="24">
        <f t="shared" si="3"/>
        <v>41</v>
      </c>
      <c r="Q22" s="18" t="s">
        <v>301</v>
      </c>
      <c r="R22" s="18"/>
      <c r="S22" s="1" t="str">
        <f>IFERROR(VLOOKUP($D22&amp;"-1",Stückliste!$A$2:$F$50,4,0),"")</f>
        <v>RM-115</v>
      </c>
      <c r="T22" s="21">
        <f>IF(S22="",0,ROUNDUP(E22*VLOOKUP($D22&amp;"-1",Stückliste!$A$2:$F$50,5,0)*(1+VLOOKUP($D22&amp;"-1",Stückliste!$A$2:$F$50,6,0)),1))</f>
        <v>23.700000000000003</v>
      </c>
      <c r="U22" s="1" t="str">
        <f>IFERROR(VLOOKUP($D22&amp;"-2",Stückliste!$A$2:$F$50,4,0),"")</f>
        <v/>
      </c>
      <c r="V22" s="21">
        <f>IF(U22="",0,ROUNDUP(E22*VLOOKUP($D22&amp;"-2",Stückliste!$A$2:$F$50,5,0)*(1+VLOOKUP($D22&amp;"-2",Stückliste!$A$2:$F$50,6,0)),1))</f>
        <v>0</v>
      </c>
    </row>
    <row r="23" spans="1:22" ht="15" customHeight="1" x14ac:dyDescent="0.3">
      <c r="A23" s="18" t="s">
        <v>327</v>
      </c>
      <c r="B23" s="18" t="s">
        <v>315</v>
      </c>
      <c r="C23" s="18" t="s">
        <v>81</v>
      </c>
      <c r="D23" s="18" t="s">
        <v>234</v>
      </c>
      <c r="E23" s="25">
        <v>30</v>
      </c>
      <c r="F23" s="15">
        <v>46311</v>
      </c>
      <c r="G23" s="1" t="str">
        <f>IFERROR(VLOOKUP($D23,Artikel!$A$2:$H$60,2,0),"??")</f>
        <v>Lagerbock GG25 kompl.</v>
      </c>
      <c r="H23" s="1" t="str">
        <f>VLOOKUP($D23,Artikel!$A$2:$H$60,3,0)</f>
        <v>GG25</v>
      </c>
      <c r="I23" s="1" t="str">
        <f>VLOOKUP($D23,Artikel!$A$2:$H$60,4,0)</f>
        <v>M4</v>
      </c>
      <c r="J23" s="21">
        <f>E23*VLOOKUP($D23,Artikel!$A$2:$H$60,5,0)/60</f>
        <v>12.5</v>
      </c>
      <c r="K23" s="24">
        <f>VLOOKUP($D23,Artikel!$A$2:$H$60,6,0)+IF(AND(H23="Alu",E23&gt;Parameter!$B$8),Parameter!$B$7,0)</f>
        <v>120</v>
      </c>
      <c r="L23" s="21">
        <f t="shared" si="0"/>
        <v>14.5</v>
      </c>
      <c r="M23" s="24">
        <f t="shared" si="1"/>
        <v>42</v>
      </c>
      <c r="N23" s="24">
        <f t="shared" si="2"/>
        <v>41</v>
      </c>
      <c r="O23" s="14"/>
      <c r="P23" s="24">
        <f t="shared" si="3"/>
        <v>41</v>
      </c>
      <c r="Q23" s="18" t="s">
        <v>301</v>
      </c>
      <c r="R23" s="18"/>
      <c r="S23" s="1" t="str">
        <f>IFERROR(VLOOKUP($D23&amp;"-1",Stückliste!$A$2:$F$50,4,0),"")</f>
        <v>RM-109</v>
      </c>
      <c r="T23" s="21">
        <f>IF(S23="",0,ROUNDUP(E23*VLOOKUP($D23&amp;"-1",Stückliste!$A$2:$F$50,5,0)*(1+VLOOKUP($D23&amp;"-1",Stückliste!$A$2:$F$50,6,0)),1))</f>
        <v>30</v>
      </c>
      <c r="U23" s="1" t="str">
        <f>IFERROR(VLOOKUP($D23&amp;"-2",Stückliste!$A$2:$F$50,4,0),"")</f>
        <v>RM-110</v>
      </c>
      <c r="V23" s="21">
        <f>IF(U23="",0,ROUNDUP(E23*VLOOKUP($D23&amp;"-2",Stückliste!$A$2:$F$50,5,0)*(1+VLOOKUP($D23&amp;"-2",Stückliste!$A$2:$F$50,6,0)),1))</f>
        <v>30</v>
      </c>
    </row>
    <row r="24" spans="1:22" ht="15" customHeight="1" x14ac:dyDescent="0.3">
      <c r="A24" s="18" t="s">
        <v>328</v>
      </c>
      <c r="B24" s="18" t="s">
        <v>317</v>
      </c>
      <c r="C24" s="18" t="s">
        <v>87</v>
      </c>
      <c r="D24" s="18" t="s">
        <v>211</v>
      </c>
      <c r="E24" s="25">
        <v>400</v>
      </c>
      <c r="F24" s="15">
        <v>46311</v>
      </c>
      <c r="G24" s="1" t="str">
        <f>IFERROR(VLOOKUP($D24,Artikel!$A$2:$H$60,2,0),"??")</f>
        <v>Anschlussnippel Ø25 Ms</v>
      </c>
      <c r="H24" s="1" t="str">
        <f>VLOOKUP($D24,Artikel!$A$2:$H$60,3,0)</f>
        <v>Messing</v>
      </c>
      <c r="I24" s="1" t="str">
        <f>VLOOKUP($D24,Artikel!$A$2:$H$60,4,0)</f>
        <v>M1</v>
      </c>
      <c r="J24" s="21">
        <f>E24*VLOOKUP($D24,Artikel!$A$2:$H$60,5,0)/60</f>
        <v>14.666666666666668</v>
      </c>
      <c r="K24" s="24">
        <f>VLOOKUP($D24,Artikel!$A$2:$H$60,6,0)+IF(AND(H24="Alu",E24&gt;500),40,0)</f>
        <v>35</v>
      </c>
      <c r="L24" s="21">
        <f t="shared" si="0"/>
        <v>15.250000000000002</v>
      </c>
      <c r="M24" s="24">
        <f t="shared" si="1"/>
        <v>42</v>
      </c>
      <c r="N24" s="24">
        <f t="shared" si="2"/>
        <v>41</v>
      </c>
      <c r="O24" s="14">
        <v>42</v>
      </c>
      <c r="P24" s="24">
        <f t="shared" si="3"/>
        <v>42</v>
      </c>
      <c r="Q24" s="18" t="s">
        <v>301</v>
      </c>
      <c r="R24" s="18" t="s">
        <v>433</v>
      </c>
      <c r="S24" s="1" t="str">
        <f>IFERROR(VLOOKUP($D24&amp;"-1",Stückliste!$A$2:$F$50,4,0),"")</f>
        <v>RM-112</v>
      </c>
      <c r="T24" s="21">
        <f>IF(S24="",0,ROUNDUP(E24*VLOOKUP($D24&amp;"-1",Stückliste!$A$2:$F$50,5,0)*(1+VLOOKUP($D24&amp;"-1",Stückliste!$A$2:$F$50,6,0)),1))</f>
        <v>7.6</v>
      </c>
      <c r="U24" s="1" t="str">
        <f>IFERROR(VLOOKUP($D24&amp;"-2",Stückliste!$A$2:$F$50,4,0),"")</f>
        <v/>
      </c>
      <c r="V24" s="21">
        <f>IF(U24="",0,ROUNDUP(E24*VLOOKUP($D24&amp;"-2",Stückliste!$A$2:$F$50,5,0)*(1+VLOOKUP($D24&amp;"-2",Stückliste!$A$2:$F$50,6,0)),1))</f>
        <v>0</v>
      </c>
    </row>
    <row r="25" spans="1:22" ht="15" customHeight="1" x14ac:dyDescent="0.3">
      <c r="A25" s="18" t="s">
        <v>329</v>
      </c>
      <c r="B25" s="18" t="s">
        <v>297</v>
      </c>
      <c r="C25" s="18" t="s">
        <v>81</v>
      </c>
      <c r="D25" s="18" t="s">
        <v>204</v>
      </c>
      <c r="E25" s="25">
        <v>300</v>
      </c>
      <c r="F25" s="15">
        <v>46311</v>
      </c>
      <c r="G25" s="1" t="str">
        <f>IFERROR(VLOOKUP($D25,Artikel!$A$2:$H$60,2,0),"??")</f>
        <v>Deckel D12 GG25</v>
      </c>
      <c r="H25" s="1" t="str">
        <f>VLOOKUP($D25,Artikel!$A$2:$H$60,3,0)</f>
        <v>GG25</v>
      </c>
      <c r="I25" s="1" t="str">
        <f>VLOOKUP($D25,Artikel!$A$2:$H$60,4,0)</f>
        <v>M3</v>
      </c>
      <c r="J25" s="21">
        <f>E25*VLOOKUP($D25,Artikel!$A$2:$H$60,5,0)/60</f>
        <v>27.5</v>
      </c>
      <c r="K25" s="24">
        <f>VLOOKUP($D25,Artikel!$A$2:$H$60,6,0)+IF(AND(H25="Alu",E25&gt;500),40,0)</f>
        <v>60</v>
      </c>
      <c r="L25" s="21">
        <f t="shared" si="0"/>
        <v>28.5</v>
      </c>
      <c r="M25" s="24">
        <f t="shared" si="1"/>
        <v>42</v>
      </c>
      <c r="N25" s="24">
        <f t="shared" si="2"/>
        <v>41</v>
      </c>
      <c r="O25" s="14"/>
      <c r="P25" s="24">
        <f t="shared" si="3"/>
        <v>41</v>
      </c>
      <c r="Q25" s="18" t="s">
        <v>301</v>
      </c>
      <c r="R25" s="18"/>
      <c r="S25" s="1" t="str">
        <f>IFERROR(VLOOKUP($D25&amp;"-1",Stückliste!$A$2:$F$50,4,0),"")</f>
        <v>RM-110</v>
      </c>
      <c r="T25" s="21">
        <f>IF(S25="",0,ROUNDUP(E25*VLOOKUP($D25&amp;"-1",Stückliste!$A$2:$F$50,5,0)*(1+VLOOKUP($D25&amp;"-1",Stückliste!$A$2:$F$50,6,0)),1))</f>
        <v>300</v>
      </c>
      <c r="U25" s="1" t="str">
        <f>IFERROR(VLOOKUP($D25&amp;"-2",Stückliste!$A$2:$F$50,4,0),"")</f>
        <v/>
      </c>
      <c r="V25" s="21">
        <f>IF(U25="",0,ROUNDUP(E25*VLOOKUP($D25&amp;"-2",Stückliste!$A$2:$F$50,5,0)*(1+VLOOKUP($D25&amp;"-2",Stückliste!$A$2:$F$50,6,0)),1))</f>
        <v>0</v>
      </c>
    </row>
    <row r="26" spans="1:22" ht="15" customHeight="1" x14ac:dyDescent="0.3">
      <c r="A26" s="18" t="s">
        <v>330</v>
      </c>
      <c r="B26" s="18" t="s">
        <v>291</v>
      </c>
      <c r="C26" s="18" t="s">
        <v>71</v>
      </c>
      <c r="D26" s="18" t="s">
        <v>172</v>
      </c>
      <c r="E26" s="25">
        <v>500</v>
      </c>
      <c r="F26" s="15">
        <v>46325</v>
      </c>
      <c r="G26" s="1" t="str">
        <f>IFERROR(VLOOKUP($D26,Artikel!$A$2:$H$60,2,0),"??")</f>
        <v>Welle Ø20x200 1.4301</v>
      </c>
      <c r="H26" s="1" t="str">
        <f>VLOOKUP($D26,Artikel!$A$2:$H$60,3,0)</f>
        <v>1.4301</v>
      </c>
      <c r="I26" s="1" t="str">
        <f>VLOOKUP($D26,Artikel!$A$2:$H$60,4,0)</f>
        <v>M1</v>
      </c>
      <c r="J26" s="21">
        <f>E26*VLOOKUP($D26,Artikel!$A$2:$H$60,5,0)/60</f>
        <v>37.5</v>
      </c>
      <c r="K26" s="24">
        <f>VLOOKUP($D26,Artikel!$A$2:$H$60,6,0)+IF(AND(H26="Alu",E26&gt;500),40,0)</f>
        <v>45</v>
      </c>
      <c r="L26" s="21">
        <f t="shared" si="0"/>
        <v>38.25</v>
      </c>
      <c r="M26" s="24">
        <f t="shared" si="1"/>
        <v>44</v>
      </c>
      <c r="N26" s="24">
        <f t="shared" si="2"/>
        <v>42</v>
      </c>
      <c r="O26" s="14"/>
      <c r="P26" s="24">
        <f t="shared" si="3"/>
        <v>42</v>
      </c>
      <c r="Q26" s="18" t="s">
        <v>301</v>
      </c>
      <c r="R26" s="18" t="s">
        <v>331</v>
      </c>
      <c r="S26" s="1" t="str">
        <f>IFERROR(VLOOKUP($D26&amp;"-1",Stückliste!$A$2:$F$50,4,0),"")</f>
        <v>RM-101</v>
      </c>
      <c r="T26" s="21">
        <f>IF(S26="",0,ROUNDUP(E26*VLOOKUP($D26&amp;"-1",Stückliste!$A$2:$F$50,5,0)*(1+VLOOKUP($D26&amp;"-1",Stückliste!$A$2:$F$50,6,0)),1))</f>
        <v>18.899999999999999</v>
      </c>
      <c r="U26" s="1" t="str">
        <f>IFERROR(VLOOKUP($D26&amp;"-2",Stückliste!$A$2:$F$50,4,0),"")</f>
        <v/>
      </c>
      <c r="V26" s="21">
        <f>IF(U26="",0,ROUNDUP(E26*VLOOKUP($D26&amp;"-2",Stückliste!$A$2:$F$50,5,0)*(1+VLOOKUP($D26&amp;"-2",Stückliste!$A$2:$F$50,6,0)),1))</f>
        <v>0</v>
      </c>
    </row>
    <row r="27" spans="1:22" ht="15" customHeight="1" x14ac:dyDescent="0.3">
      <c r="A27" s="18" t="s">
        <v>332</v>
      </c>
      <c r="B27" s="18" t="s">
        <v>306</v>
      </c>
      <c r="C27" s="18" t="s">
        <v>81</v>
      </c>
      <c r="D27" s="18" t="s">
        <v>191</v>
      </c>
      <c r="E27" s="25">
        <v>200</v>
      </c>
      <c r="F27" s="15">
        <v>46318</v>
      </c>
      <c r="G27" s="1" t="str">
        <f>IFERROR(VLOOKUP($D27,Artikel!$A$2:$H$60,2,0),"??")</f>
        <v>Flansch DN80 Alu</v>
      </c>
      <c r="H27" s="1" t="str">
        <f>VLOOKUP($D27,Artikel!$A$2:$H$60,3,0)</f>
        <v>Alu</v>
      </c>
      <c r="I27" s="1" t="str">
        <f>VLOOKUP($D27,Artikel!$A$2:$H$60,4,0)</f>
        <v>M3</v>
      </c>
      <c r="J27" s="21">
        <f>E27*VLOOKUP($D27,Artikel!$A$2:$H$60,5,0)/60</f>
        <v>26.666666666666668</v>
      </c>
      <c r="K27" s="24">
        <f>VLOOKUP($D27,Artikel!$A$2:$H$60,6,0)+IF(AND(H27="Alu",E27&gt;500),40,0)</f>
        <v>50</v>
      </c>
      <c r="L27" s="21">
        <f t="shared" si="0"/>
        <v>27.5</v>
      </c>
      <c r="M27" s="24">
        <f t="shared" si="1"/>
        <v>43</v>
      </c>
      <c r="N27" s="24">
        <f t="shared" si="2"/>
        <v>42</v>
      </c>
      <c r="O27" s="14"/>
      <c r="P27" s="24">
        <f t="shared" si="3"/>
        <v>42</v>
      </c>
      <c r="Q27" s="18" t="s">
        <v>301</v>
      </c>
      <c r="R27" s="18"/>
      <c r="S27" s="1" t="str">
        <f>IFERROR(VLOOKUP($D27&amp;"-1",Stückliste!$A$2:$F$50,4,0),"")</f>
        <v>RM-107</v>
      </c>
      <c r="T27" s="21">
        <f>IF(S27="",0,ROUNDUP(E27*VLOOKUP($D27&amp;"-1",Stückliste!$A$2:$F$50,5,0)*(1+VLOOKUP($D27&amp;"-1",Stückliste!$A$2:$F$50,6,0)),1))</f>
        <v>5.5</v>
      </c>
      <c r="U27" s="1" t="str">
        <f>IFERROR(VLOOKUP($D27&amp;"-2",Stückliste!$A$2:$F$50,4,0),"")</f>
        <v/>
      </c>
      <c r="V27" s="21">
        <f>IF(U27="",0,ROUNDUP(E27*VLOOKUP($D27&amp;"-2",Stückliste!$A$2:$F$50,5,0)*(1+VLOOKUP($D27&amp;"-2",Stückliste!$A$2:$F$50,6,0)),1))</f>
        <v>0</v>
      </c>
    </row>
    <row r="28" spans="1:22" ht="15" customHeight="1" x14ac:dyDescent="0.3">
      <c r="A28" s="18" t="s">
        <v>333</v>
      </c>
      <c r="B28" s="18" t="s">
        <v>295</v>
      </c>
      <c r="C28" s="18" t="s">
        <v>81</v>
      </c>
      <c r="D28" s="18" t="s">
        <v>218</v>
      </c>
      <c r="E28" s="25">
        <v>600</v>
      </c>
      <c r="F28" s="15">
        <v>46318</v>
      </c>
      <c r="G28" s="1" t="str">
        <f>IFERROR(VLOOKUP($D28,Artikel!$A$2:$H$60,2,0),"??")</f>
        <v>Halter 60x10 S235</v>
      </c>
      <c r="H28" s="1" t="str">
        <f>VLOOKUP($D28,Artikel!$A$2:$H$60,3,0)</f>
        <v>S235JR</v>
      </c>
      <c r="I28" s="1" t="str">
        <f>VLOOKUP($D28,Artikel!$A$2:$H$60,4,0)</f>
        <v>M4</v>
      </c>
      <c r="J28" s="21">
        <f>E28*VLOOKUP($D28,Artikel!$A$2:$H$60,5,0)/60</f>
        <v>35</v>
      </c>
      <c r="K28" s="24">
        <f>VLOOKUP($D28,Artikel!$A$2:$H$60,6,0)+IF(AND(H28="Alu",E28&gt;500),40,0)</f>
        <v>40</v>
      </c>
      <c r="L28" s="21">
        <f t="shared" si="0"/>
        <v>35.666666666666664</v>
      </c>
      <c r="M28" s="24">
        <f t="shared" si="1"/>
        <v>43</v>
      </c>
      <c r="N28" s="24">
        <f t="shared" si="2"/>
        <v>42</v>
      </c>
      <c r="O28" s="14"/>
      <c r="P28" s="24">
        <f t="shared" si="3"/>
        <v>42</v>
      </c>
      <c r="Q28" s="18" t="s">
        <v>301</v>
      </c>
      <c r="R28" s="18"/>
      <c r="S28" s="1" t="str">
        <f>IFERROR(VLOOKUP($D28&amp;"-1",Stückliste!$A$2:$F$50,4,0),"")</f>
        <v>RM-114</v>
      </c>
      <c r="T28" s="21">
        <f>IF(S28="",0,ROUNDUP(E28*VLOOKUP($D28&amp;"-1",Stückliste!$A$2:$F$50,5,0)*(1+VLOOKUP($D28&amp;"-1",Stückliste!$A$2:$F$50,6,0)),1))</f>
        <v>22.1</v>
      </c>
      <c r="U28" s="1" t="str">
        <f>IFERROR(VLOOKUP($D28&amp;"-2",Stückliste!$A$2:$F$50,4,0),"")</f>
        <v/>
      </c>
      <c r="V28" s="21">
        <f>IF(U28="",0,ROUNDUP(E28*VLOOKUP($D28&amp;"-2",Stückliste!$A$2:$F$50,5,0)*(1+VLOOKUP($D28&amp;"-2",Stückliste!$A$2:$F$50,6,0)),1))</f>
        <v>0</v>
      </c>
    </row>
    <row r="29" spans="1:22" ht="15" customHeight="1" x14ac:dyDescent="0.3">
      <c r="A29" s="18" t="s">
        <v>334</v>
      </c>
      <c r="B29" s="18" t="s">
        <v>300</v>
      </c>
      <c r="C29" s="18" t="s">
        <v>81</v>
      </c>
      <c r="D29" s="18" t="s">
        <v>180</v>
      </c>
      <c r="E29" s="25">
        <v>700</v>
      </c>
      <c r="F29" s="15">
        <v>46318</v>
      </c>
      <c r="G29" s="1" t="str">
        <f>IFERROR(VLOOKUP($D29,Artikel!$A$2:$H$60,2,0),"??")</f>
        <v>Bolzen Ø30x120 S235</v>
      </c>
      <c r="H29" s="1" t="str">
        <f>VLOOKUP($D29,Artikel!$A$2:$H$60,3,0)</f>
        <v>S235JR</v>
      </c>
      <c r="I29" s="1" t="str">
        <f>VLOOKUP($D29,Artikel!$A$2:$H$60,4,0)</f>
        <v>M2</v>
      </c>
      <c r="J29" s="21">
        <f>E29*VLOOKUP($D29,Artikel!$A$2:$H$60,5,0)/60</f>
        <v>32.666666666666664</v>
      </c>
      <c r="K29" s="24">
        <f>VLOOKUP($D29,Artikel!$A$2:$H$60,6,0)+IF(AND(H29="Alu",E29&gt;500),40,0)</f>
        <v>30</v>
      </c>
      <c r="L29" s="21">
        <f t="shared" si="0"/>
        <v>33.166666666666664</v>
      </c>
      <c r="M29" s="24">
        <f t="shared" si="1"/>
        <v>43</v>
      </c>
      <c r="N29" s="24">
        <f t="shared" si="2"/>
        <v>42</v>
      </c>
      <c r="O29" s="14"/>
      <c r="P29" s="24">
        <f t="shared" si="3"/>
        <v>42</v>
      </c>
      <c r="Q29" s="18" t="s">
        <v>301</v>
      </c>
      <c r="R29" s="18"/>
      <c r="S29" s="1" t="str">
        <f>IFERROR(VLOOKUP($D29&amp;"-1",Stückliste!$A$2:$F$50,4,0),"")</f>
        <v>RM-103</v>
      </c>
      <c r="T29" s="21">
        <f>IF(S29="",0,ROUNDUP(E29*VLOOKUP($D29&amp;"-1",Stückliste!$A$2:$F$50,5,0)*(1+VLOOKUP($D29&amp;"-1",Stückliste!$A$2:$F$50,6,0)),1))</f>
        <v>16.200000000000003</v>
      </c>
      <c r="U29" s="1" t="str">
        <f>IFERROR(VLOOKUP($D29&amp;"-2",Stückliste!$A$2:$F$50,4,0),"")</f>
        <v/>
      </c>
      <c r="V29" s="21">
        <f>IF(U29="",0,ROUNDUP(E29*VLOOKUP($D29&amp;"-2",Stückliste!$A$2:$F$50,5,0)*(1+VLOOKUP($D29&amp;"-2",Stückliste!$A$2:$F$50,6,0)),1))</f>
        <v>0</v>
      </c>
    </row>
    <row r="30" spans="1:22" ht="15" customHeight="1" x14ac:dyDescent="0.3">
      <c r="A30" s="18" t="s">
        <v>335</v>
      </c>
      <c r="B30" s="18" t="s">
        <v>310</v>
      </c>
      <c r="C30" s="18" t="s">
        <v>71</v>
      </c>
      <c r="D30" s="18" t="s">
        <v>214</v>
      </c>
      <c r="E30" s="25">
        <v>80</v>
      </c>
      <c r="F30" s="15">
        <v>46332</v>
      </c>
      <c r="G30" s="1" t="str">
        <f>IFERROR(VLOOKUP($D30,Artikel!$A$2:$H$60,2,0),"??")</f>
        <v>Ritzelwelle 42CrMo4 Ø35</v>
      </c>
      <c r="H30" s="1" t="str">
        <f>VLOOKUP($D30,Artikel!$A$2:$H$60,3,0)</f>
        <v>42CrMo4</v>
      </c>
      <c r="I30" s="1" t="str">
        <f>VLOOKUP($D30,Artikel!$A$2:$H$60,4,0)</f>
        <v>M1</v>
      </c>
      <c r="J30" s="21">
        <f>E30*VLOOKUP($D30,Artikel!$A$2:$H$60,5,0)/60</f>
        <v>18.666666666666668</v>
      </c>
      <c r="K30" s="24">
        <f>VLOOKUP($D30,Artikel!$A$2:$H$60,6,0)+IF(AND(H30="Alu",E30&gt;500),40,0)</f>
        <v>90</v>
      </c>
      <c r="L30" s="21">
        <f t="shared" si="0"/>
        <v>20.166666666666668</v>
      </c>
      <c r="M30" s="24">
        <f t="shared" si="1"/>
        <v>45</v>
      </c>
      <c r="N30" s="24">
        <f t="shared" si="2"/>
        <v>43</v>
      </c>
      <c r="O30" s="14"/>
      <c r="P30" s="24">
        <f t="shared" si="3"/>
        <v>43</v>
      </c>
      <c r="Q30" s="18" t="s">
        <v>301</v>
      </c>
      <c r="R30" s="18" t="s">
        <v>336</v>
      </c>
      <c r="S30" s="1" t="str">
        <f>IFERROR(VLOOKUP($D30&amp;"-1",Stückliste!$A$2:$F$50,4,0),"")</f>
        <v>RM-113</v>
      </c>
      <c r="T30" s="21">
        <f>IF(S30="",0,ROUNDUP(E30*VLOOKUP($D30&amp;"-1",Stückliste!$A$2:$F$50,5,0)*(1+VLOOKUP($D30&amp;"-1",Stückliste!$A$2:$F$50,6,0)),1))</f>
        <v>6.3</v>
      </c>
      <c r="U30" s="1" t="str">
        <f>IFERROR(VLOOKUP($D30&amp;"-2",Stückliste!$A$2:$F$50,4,0),"")</f>
        <v/>
      </c>
      <c r="V30" s="21">
        <f>IF(U30="",0,ROUNDUP(E30*VLOOKUP($D30&amp;"-2",Stückliste!$A$2:$F$50,5,0)*(1+VLOOKUP($D30&amp;"-2",Stückliste!$A$2:$F$50,6,0)),1))</f>
        <v>0</v>
      </c>
    </row>
    <row r="31" spans="1:22" ht="15" customHeight="1" x14ac:dyDescent="0.3">
      <c r="A31" s="18" t="s">
        <v>337</v>
      </c>
      <c r="B31" s="18" t="s">
        <v>308</v>
      </c>
      <c r="C31" s="18" t="s">
        <v>87</v>
      </c>
      <c r="D31" s="18" t="s">
        <v>194</v>
      </c>
      <c r="E31" s="25">
        <v>64</v>
      </c>
      <c r="F31" s="15">
        <v>46318</v>
      </c>
      <c r="G31" s="1" t="str">
        <f>IFERROR(VLOOKUP($D31,Artikel!$A$2:$H$60,2,0),"??")</f>
        <v>Adapterplatte 200x150 Alu</v>
      </c>
      <c r="H31" s="1" t="str">
        <f>VLOOKUP($D31,Artikel!$A$2:$H$60,3,0)</f>
        <v>Alu</v>
      </c>
      <c r="I31" s="1" t="str">
        <f>VLOOKUP($D31,Artikel!$A$2:$H$60,4,0)</f>
        <v>M4</v>
      </c>
      <c r="J31" s="21">
        <f>E31*VLOOKUP($D31,Artikel!$A$2:$H$60,5,0)/60</f>
        <v>12.8</v>
      </c>
      <c r="K31" s="24">
        <f>VLOOKUP($D31,Artikel!$A$2:$H$60,6,0)+IF(AND(H31="Alu",E31&gt;500),40,0)</f>
        <v>75</v>
      </c>
      <c r="L31" s="21">
        <f t="shared" si="0"/>
        <v>14.05</v>
      </c>
      <c r="M31" s="24">
        <f t="shared" si="1"/>
        <v>43</v>
      </c>
      <c r="N31" s="24">
        <f t="shared" si="2"/>
        <v>42</v>
      </c>
      <c r="O31" s="14"/>
      <c r="P31" s="24">
        <f t="shared" si="3"/>
        <v>42</v>
      </c>
      <c r="Q31" s="18" t="s">
        <v>301</v>
      </c>
      <c r="R31" s="18"/>
      <c r="S31" s="1" t="str">
        <f>IFERROR(VLOOKUP($D31&amp;"-1",Stückliste!$A$2:$F$50,4,0),"")</f>
        <v>RM-107</v>
      </c>
      <c r="T31" s="21">
        <f>IF(S31="",0,ROUNDUP(E31*VLOOKUP($D31&amp;"-1",Stückliste!$A$2:$F$50,5,0)*(1+VLOOKUP($D31&amp;"-1",Stückliste!$A$2:$F$50,6,0)),1))</f>
        <v>4.4000000000000004</v>
      </c>
      <c r="U31" s="1" t="str">
        <f>IFERROR(VLOOKUP($D31&amp;"-2",Stückliste!$A$2:$F$50,4,0),"")</f>
        <v/>
      </c>
      <c r="V31" s="21">
        <f>IF(U31="",0,ROUNDUP(E31*VLOOKUP($D31&amp;"-2",Stückliste!$A$2:$F$50,5,0)*(1+VLOOKUP($D31&amp;"-2",Stückliste!$A$2:$F$50,6,0)),1))</f>
        <v>0</v>
      </c>
    </row>
    <row r="32" spans="1:22" ht="15" customHeight="1" x14ac:dyDescent="0.3">
      <c r="A32" s="18" t="s">
        <v>338</v>
      </c>
      <c r="B32" s="18" t="s">
        <v>315</v>
      </c>
      <c r="C32" s="18" t="s">
        <v>81</v>
      </c>
      <c r="D32" s="18" t="s">
        <v>231</v>
      </c>
      <c r="E32" s="25">
        <v>300</v>
      </c>
      <c r="F32" s="15">
        <v>46325</v>
      </c>
      <c r="G32" s="1" t="str">
        <f>IFERROR(VLOOKUP($D32,Artikel!$A$2:$H$60,2,0),"??")</f>
        <v>Zwischenplatte 20 Alu</v>
      </c>
      <c r="H32" s="1" t="str">
        <f>VLOOKUP($D32,Artikel!$A$2:$H$60,3,0)</f>
        <v>Alu</v>
      </c>
      <c r="I32" s="1" t="str">
        <f>VLOOKUP($D32,Artikel!$A$2:$H$60,4,0)</f>
        <v>M4</v>
      </c>
      <c r="J32" s="21">
        <f>E32*VLOOKUP($D32,Artikel!$A$2:$H$60,5,0)/60</f>
        <v>45</v>
      </c>
      <c r="K32" s="24">
        <f>VLOOKUP($D32,Artikel!$A$2:$H$60,6,0)+IF(AND(H32="Alu",E32&gt;500),40,0)</f>
        <v>70</v>
      </c>
      <c r="L32" s="21">
        <f t="shared" si="0"/>
        <v>46.166666666666664</v>
      </c>
      <c r="M32" s="24">
        <f t="shared" si="1"/>
        <v>44</v>
      </c>
      <c r="N32" s="24">
        <f t="shared" si="2"/>
        <v>43</v>
      </c>
      <c r="O32" s="14"/>
      <c r="P32" s="24">
        <f t="shared" si="3"/>
        <v>43</v>
      </c>
      <c r="Q32" s="18" t="s">
        <v>301</v>
      </c>
      <c r="R32" s="18"/>
      <c r="S32" s="1" t="str">
        <f>IFERROR(VLOOKUP($D32&amp;"-1",Stückliste!$A$2:$F$50,4,0),"")</f>
        <v>RM-107</v>
      </c>
      <c r="T32" s="21">
        <f>IF(S32="",0,ROUNDUP(E32*VLOOKUP($D32&amp;"-1",Stückliste!$A$2:$F$50,5,0)*(1+VLOOKUP($D32&amp;"-1",Stückliste!$A$2:$F$50,6,0)),1))</f>
        <v>33</v>
      </c>
      <c r="U32" s="1" t="str">
        <f>IFERROR(VLOOKUP($D32&amp;"-2",Stückliste!$A$2:$F$50,4,0),"")</f>
        <v/>
      </c>
      <c r="V32" s="21">
        <f>IF(U32="",0,ROUNDUP(E32*VLOOKUP($D32&amp;"-2",Stückliste!$A$2:$F$50,5,0)*(1+VLOOKUP($D32&amp;"-2",Stückliste!$A$2:$F$50,6,0)),1))</f>
        <v>0</v>
      </c>
    </row>
    <row r="33" spans="1:22" ht="15" customHeight="1" x14ac:dyDescent="0.3">
      <c r="A33" s="18" t="s">
        <v>339</v>
      </c>
      <c r="B33" s="18" t="s">
        <v>312</v>
      </c>
      <c r="C33" s="18" t="s">
        <v>81</v>
      </c>
      <c r="D33" s="18" t="s">
        <v>237</v>
      </c>
      <c r="E33" s="25">
        <v>400</v>
      </c>
      <c r="F33" s="15">
        <v>46325</v>
      </c>
      <c r="G33" s="1" t="str">
        <f>IFERROR(VLOOKUP($D33,Artikel!$A$2:$H$60,2,0),"??")</f>
        <v>Spannbolzen Ø30 S235 vernickelt</v>
      </c>
      <c r="H33" s="1" t="str">
        <f>VLOOKUP($D33,Artikel!$A$2:$H$60,3,0)</f>
        <v>S235JR</v>
      </c>
      <c r="I33" s="1" t="str">
        <f>VLOOKUP($D33,Artikel!$A$2:$H$60,4,0)</f>
        <v>M2</v>
      </c>
      <c r="J33" s="21">
        <f>E33*VLOOKUP($D33,Artikel!$A$2:$H$60,5,0)/60</f>
        <v>20</v>
      </c>
      <c r="K33" s="24">
        <f>VLOOKUP($D33,Artikel!$A$2:$H$60,6,0)+IF(AND(H33="Alu",E33&gt;500),40,0)</f>
        <v>30</v>
      </c>
      <c r="L33" s="21">
        <f t="shared" si="0"/>
        <v>20.5</v>
      </c>
      <c r="M33" s="24">
        <f t="shared" si="1"/>
        <v>44</v>
      </c>
      <c r="N33" s="24">
        <f t="shared" si="2"/>
        <v>43</v>
      </c>
      <c r="O33" s="14"/>
      <c r="P33" s="24">
        <f t="shared" si="3"/>
        <v>43</v>
      </c>
      <c r="Q33" s="18" t="s">
        <v>301</v>
      </c>
      <c r="R33" s="18"/>
      <c r="S33" s="1" t="str">
        <f>IFERROR(VLOOKUP($D33&amp;"-1",Stückliste!$A$2:$F$50,4,0),"")</f>
        <v>RM-103</v>
      </c>
      <c r="T33" s="21">
        <f>IF(S33="",0,ROUNDUP(E33*VLOOKUP($D33&amp;"-1",Stückliste!$A$2:$F$50,5,0)*(1+VLOOKUP($D33&amp;"-1",Stückliste!$A$2:$F$50,6,0)),1))</f>
        <v>9.6999999999999993</v>
      </c>
      <c r="U33" s="1" t="str">
        <f>IFERROR(VLOOKUP($D33&amp;"-2",Stückliste!$A$2:$F$50,4,0),"")</f>
        <v/>
      </c>
      <c r="V33" s="21">
        <f>IF(U33="",0,ROUNDUP(E33*VLOOKUP($D33&amp;"-2",Stückliste!$A$2:$F$50,5,0)*(1+VLOOKUP($D33&amp;"-2",Stückliste!$A$2:$F$50,6,0)),1))</f>
        <v>0</v>
      </c>
    </row>
    <row r="34" spans="1:22" ht="15" customHeight="1" x14ac:dyDescent="0.3">
      <c r="A34" s="18" t="s">
        <v>340</v>
      </c>
      <c r="B34" s="18" t="s">
        <v>297</v>
      </c>
      <c r="C34" s="18" t="s">
        <v>81</v>
      </c>
      <c r="D34" s="18" t="s">
        <v>187</v>
      </c>
      <c r="E34" s="25">
        <v>550</v>
      </c>
      <c r="F34" s="15">
        <v>46325</v>
      </c>
      <c r="G34" s="1" t="str">
        <f>IFERROR(VLOOKUP($D34,Artikel!$A$2:$H$60,2,0),"??")</f>
        <v>Flansch DN50 Alu</v>
      </c>
      <c r="H34" s="1" t="str">
        <f>VLOOKUP($D34,Artikel!$A$2:$H$60,3,0)</f>
        <v>Alu</v>
      </c>
      <c r="I34" s="1" t="str">
        <f>VLOOKUP($D34,Artikel!$A$2:$H$60,4,0)</f>
        <v>M3</v>
      </c>
      <c r="J34" s="21">
        <f>E34*VLOOKUP($D34,Artikel!$A$2:$H$60,5,0)/60</f>
        <v>36.666666666666664</v>
      </c>
      <c r="K34" s="24">
        <f>VLOOKUP($D34,Artikel!$A$2:$H$60,6,0)</f>
        <v>50</v>
      </c>
      <c r="L34" s="21">
        <f t="shared" si="0"/>
        <v>37.5</v>
      </c>
      <c r="M34" s="24">
        <f t="shared" si="1"/>
        <v>44</v>
      </c>
      <c r="N34" s="24">
        <f t="shared" si="2"/>
        <v>43</v>
      </c>
      <c r="O34" s="14"/>
      <c r="P34" s="24">
        <f t="shared" si="3"/>
        <v>43</v>
      </c>
      <c r="Q34" s="18" t="s">
        <v>301</v>
      </c>
      <c r="R34" s="18"/>
      <c r="S34" s="1" t="str">
        <f>IFERROR(VLOOKUP($D34&amp;"-1",Stückliste!$A$2:$F$50,4,0),"")</f>
        <v>RM-106</v>
      </c>
      <c r="T34" s="21">
        <f>IF(S34="",0,ROUNDUP(E34*VLOOKUP($D34&amp;"-1",Stückliste!$A$2:$F$50,5,0)*(1+VLOOKUP($D34&amp;"-1",Stückliste!$A$2:$F$50,6,0)),1))</f>
        <v>8.4</v>
      </c>
      <c r="U34" s="1" t="str">
        <f>IFERROR(VLOOKUP($D34&amp;"-2",Stückliste!$A$2:$F$50,4,0),"")</f>
        <v/>
      </c>
      <c r="V34" s="21">
        <f>IF(U34="",0,ROUNDUP(E34*VLOOKUP($D34&amp;"-2",Stückliste!$A$2:$F$50,5,0)*(1+VLOOKUP($D34&amp;"-2",Stückliste!$A$2:$F$50,6,0)),1))</f>
        <v>0</v>
      </c>
    </row>
    <row r="35" spans="1:22" ht="15" customHeight="1" x14ac:dyDescent="0.3">
      <c r="A35" s="18" t="s">
        <v>341</v>
      </c>
      <c r="B35" s="18" t="s">
        <v>317</v>
      </c>
      <c r="C35" s="18" t="s">
        <v>87</v>
      </c>
      <c r="D35" s="18" t="s">
        <v>207</v>
      </c>
      <c r="E35" s="25">
        <v>2500</v>
      </c>
      <c r="F35" s="15">
        <v>46325</v>
      </c>
      <c r="G35" s="1" t="str">
        <f>IFERROR(VLOOKUP($D35,Artikel!$A$2:$H$60,2,0),"??")</f>
        <v>Sechskantmutter M10 Ms</v>
      </c>
      <c r="H35" s="1" t="str">
        <f>VLOOKUP($D35,Artikel!$A$2:$H$60,3,0)</f>
        <v>Messing</v>
      </c>
      <c r="I35" s="1" t="str">
        <f>VLOOKUP($D35,Artikel!$A$2:$H$60,4,0)</f>
        <v>M2</v>
      </c>
      <c r="J35" s="21">
        <f>E35*VLOOKUP($D35,Artikel!$A$2:$H$60,5,0)/60</f>
        <v>37.5</v>
      </c>
      <c r="K35" s="24">
        <f>VLOOKUP($D35,Artikel!$A$2:$H$60,6,0)+IF(AND(H35="Alu",E35&gt;500),40,0)</f>
        <v>25</v>
      </c>
      <c r="L35" s="21">
        <f t="shared" si="0"/>
        <v>37.916666666666664</v>
      </c>
      <c r="M35" s="24">
        <f t="shared" si="1"/>
        <v>44</v>
      </c>
      <c r="N35" s="24">
        <f t="shared" si="2"/>
        <v>43</v>
      </c>
      <c r="O35" s="14"/>
      <c r="P35" s="24">
        <f t="shared" si="3"/>
        <v>43</v>
      </c>
      <c r="Q35" s="18" t="s">
        <v>301</v>
      </c>
      <c r="R35" s="18"/>
      <c r="S35" s="1" t="str">
        <f>IFERROR(VLOOKUP($D35&amp;"-1",Stückliste!$A$2:$F$50,4,0),"")</f>
        <v>RM-111</v>
      </c>
      <c r="T35" s="21">
        <f>IF(S35="",0,ROUNDUP(E35*VLOOKUP($D35&amp;"-1",Stückliste!$A$2:$F$50,5,0)*(1+VLOOKUP($D35&amp;"-1",Stückliste!$A$2:$F$50,6,0)),1))</f>
        <v>10.5</v>
      </c>
      <c r="U35" s="1" t="str">
        <f>IFERROR(VLOOKUP($D35&amp;"-2",Stückliste!$A$2:$F$50,4,0),"")</f>
        <v/>
      </c>
      <c r="V35" s="21">
        <f>IF(U35="",0,ROUNDUP(E35*VLOOKUP($D35&amp;"-2",Stückliste!$A$2:$F$50,5,0)*(1+VLOOKUP($D35&amp;"-2",Stückliste!$A$2:$F$50,6,0)),1))</f>
        <v>0</v>
      </c>
    </row>
    <row r="36" spans="1:22" ht="15" customHeight="1" x14ac:dyDescent="0.3">
      <c r="A36" s="18" t="s">
        <v>342</v>
      </c>
      <c r="B36" s="18" t="s">
        <v>291</v>
      </c>
      <c r="C36" s="18" t="s">
        <v>71</v>
      </c>
      <c r="D36" s="18" t="s">
        <v>177</v>
      </c>
      <c r="E36" s="25">
        <v>60</v>
      </c>
      <c r="F36" s="15">
        <v>46339</v>
      </c>
      <c r="G36" s="1" t="str">
        <f>IFERROR(VLOOKUP($D36,Artikel!$A$2:$H$60,2,0),"??")</f>
        <v>Welle Ø40x350 1.4301</v>
      </c>
      <c r="H36" s="1" t="str">
        <f>VLOOKUP($D36,Artikel!$A$2:$H$60,3,0)</f>
        <v>1.4301</v>
      </c>
      <c r="I36" s="1" t="str">
        <f>VLOOKUP($D36,Artikel!$A$2:$H$60,4,0)</f>
        <v>M1</v>
      </c>
      <c r="J36" s="21">
        <f>E36*VLOOKUP($D36,Artikel!$A$2:$H$60,5,0)/60</f>
        <v>9</v>
      </c>
      <c r="K36" s="24">
        <f>VLOOKUP($D36,Artikel!$A$2:$H$60,6,0)+IF(AND(H36="Alu",E36&gt;500),40,0)</f>
        <v>60</v>
      </c>
      <c r="L36" s="21">
        <f t="shared" ref="L36:L53" si="4">J36+K36/60</f>
        <v>10</v>
      </c>
      <c r="M36" s="24">
        <f t="shared" ref="M36:M53" si="5">WEEKNUM(F36,21)</f>
        <v>46</v>
      </c>
      <c r="N36" s="24">
        <f t="shared" ref="N36:N53" si="6">M36-IF(C36="A",2,1)</f>
        <v>44</v>
      </c>
      <c r="O36" s="14"/>
      <c r="P36" s="24">
        <f t="shared" ref="P36:P53" si="7">IF(O36="",N36,O36)</f>
        <v>44</v>
      </c>
      <c r="Q36" s="18" t="s">
        <v>301</v>
      </c>
      <c r="R36" s="18"/>
      <c r="S36" s="1" t="str">
        <f>IFERROR(VLOOKUP($D36&amp;"-1",Stückliste!$A$2:$F$50,4,0),"")</f>
        <v>RM-102</v>
      </c>
      <c r="T36" s="21">
        <f>IF(S36="",0,ROUNDUP(E36*VLOOKUP($D36&amp;"-1",Stückliste!$A$2:$F$50,5,0)*(1+VLOOKUP($D36&amp;"-1",Stückliste!$A$2:$F$50,6,0)),1))</f>
        <v>4</v>
      </c>
      <c r="U36" s="1" t="str">
        <f>IFERROR(VLOOKUP($D36&amp;"-2",Stückliste!$A$2:$F$50,4,0),"")</f>
        <v/>
      </c>
      <c r="V36" s="21">
        <f>IF(U36="",0,ROUNDUP(E36*VLOOKUP($D36&amp;"-2",Stückliste!$A$2:$F$50,5,0)*(1+VLOOKUP($D36&amp;"-2",Stückliste!$A$2:$F$50,6,0)),1))</f>
        <v>0</v>
      </c>
    </row>
    <row r="37" spans="1:22" ht="15" customHeight="1" x14ac:dyDescent="0.3">
      <c r="A37" s="18" t="s">
        <v>343</v>
      </c>
      <c r="B37" s="18" t="s">
        <v>306</v>
      </c>
      <c r="C37" s="18" t="s">
        <v>81</v>
      </c>
      <c r="D37" s="18" t="s">
        <v>204</v>
      </c>
      <c r="E37" s="25">
        <v>200</v>
      </c>
      <c r="F37" s="15">
        <v>46332</v>
      </c>
      <c r="G37" s="1" t="str">
        <f>IFERROR(VLOOKUP($D37,Artikel!$A$2:$H$60,2,0),"??")</f>
        <v>Deckel D12 GG25</v>
      </c>
      <c r="H37" s="1" t="str">
        <f>VLOOKUP($D37,Artikel!$A$2:$H$60,3,0)</f>
        <v>GG25</v>
      </c>
      <c r="I37" s="1" t="str">
        <f>VLOOKUP($D37,Artikel!$A$2:$H$60,4,0)</f>
        <v>M3</v>
      </c>
      <c r="J37" s="21">
        <f>E37*VLOOKUP($D37,Artikel!$A$2:$H$60,5,0)/60</f>
        <v>18.333333333333332</v>
      </c>
      <c r="K37" s="24">
        <f>VLOOKUP($D37,Artikel!$A$2:$H$60,6,0)+IF(AND(H37="Alu",E37&gt;500),40,0)</f>
        <v>60</v>
      </c>
      <c r="L37" s="21">
        <f t="shared" si="4"/>
        <v>19.333333333333332</v>
      </c>
      <c r="M37" s="24">
        <f t="shared" si="5"/>
        <v>45</v>
      </c>
      <c r="N37" s="24">
        <f t="shared" si="6"/>
        <v>44</v>
      </c>
      <c r="O37" s="14"/>
      <c r="P37" s="24">
        <f t="shared" si="7"/>
        <v>44</v>
      </c>
      <c r="Q37" s="18" t="s">
        <v>301</v>
      </c>
      <c r="R37" s="18"/>
      <c r="S37" s="1" t="str">
        <f>IFERROR(VLOOKUP($D37&amp;"-1",Stückliste!$A$2:$F$50,4,0),"")</f>
        <v>RM-110</v>
      </c>
      <c r="T37" s="21">
        <f>IF(S37="",0,ROUNDUP(E37*VLOOKUP($D37&amp;"-1",Stückliste!$A$2:$F$50,5,0)*(1+VLOOKUP($D37&amp;"-1",Stückliste!$A$2:$F$50,6,0)),1))</f>
        <v>200</v>
      </c>
      <c r="U37" s="1" t="str">
        <f>IFERROR(VLOOKUP($D37&amp;"-2",Stückliste!$A$2:$F$50,4,0),"")</f>
        <v/>
      </c>
      <c r="V37" s="21">
        <f>IF(U37="",0,ROUNDUP(E37*VLOOKUP($D37&amp;"-2",Stückliste!$A$2:$F$50,5,0)*(1+VLOOKUP($D37&amp;"-2",Stückliste!$A$2:$F$50,6,0)),1))</f>
        <v>0</v>
      </c>
    </row>
    <row r="38" spans="1:22" ht="15" customHeight="1" x14ac:dyDescent="0.3">
      <c r="A38" s="18" t="s">
        <v>344</v>
      </c>
      <c r="B38" s="18" t="s">
        <v>295</v>
      </c>
      <c r="C38" s="18" t="s">
        <v>81</v>
      </c>
      <c r="D38" s="18" t="s">
        <v>200</v>
      </c>
      <c r="E38" s="25">
        <v>50</v>
      </c>
      <c r="F38" s="15">
        <v>46332</v>
      </c>
      <c r="G38" s="1" t="str">
        <f>IFERROR(VLOOKUP($D38,Artikel!$A$2:$H$60,2,0),"??")</f>
        <v>Gehäuse G12 GG25</v>
      </c>
      <c r="H38" s="1" t="str">
        <f>VLOOKUP($D38,Artikel!$A$2:$H$60,3,0)</f>
        <v>GG25</v>
      </c>
      <c r="I38" s="1" t="str">
        <f>VLOOKUP($D38,Artikel!$A$2:$H$60,4,0)</f>
        <v>M4</v>
      </c>
      <c r="J38" s="21">
        <f>E38*VLOOKUP($D38,Artikel!$A$2:$H$60,5,0)/60</f>
        <v>15</v>
      </c>
      <c r="K38" s="24">
        <f>VLOOKUP($D38,Artikel!$A$2:$H$60,6,0)+IF(AND(H38="Alu",E38&gt;500),40,0)</f>
        <v>120</v>
      </c>
      <c r="L38" s="21">
        <f t="shared" si="4"/>
        <v>17</v>
      </c>
      <c r="M38" s="24">
        <f t="shared" si="5"/>
        <v>45</v>
      </c>
      <c r="N38" s="24">
        <f t="shared" si="6"/>
        <v>44</v>
      </c>
      <c r="O38" s="14"/>
      <c r="P38" s="24">
        <f t="shared" si="7"/>
        <v>44</v>
      </c>
      <c r="Q38" s="18" t="s">
        <v>301</v>
      </c>
      <c r="R38" s="18"/>
      <c r="S38" s="1" t="str">
        <f>IFERROR(VLOOKUP($D38&amp;"-1",Stückliste!$A$2:$F$50,4,0),"")</f>
        <v>RM-109</v>
      </c>
      <c r="T38" s="21">
        <f>IF(S38="",0,ROUNDUP(E38*VLOOKUP($D38&amp;"-1",Stückliste!$A$2:$F$50,5,0)*(1+VLOOKUP($D38&amp;"-1",Stückliste!$A$2:$F$50,6,0)),1))</f>
        <v>50</v>
      </c>
      <c r="U38" s="1" t="str">
        <f>IFERROR(VLOOKUP($D38&amp;"-2",Stückliste!$A$2:$F$50,4,0),"")</f>
        <v/>
      </c>
      <c r="V38" s="21">
        <f>IF(U38="",0,ROUNDUP(E38*VLOOKUP($D38&amp;"-2",Stückliste!$A$2:$F$50,5,0)*(1+VLOOKUP($D38&amp;"-2",Stückliste!$A$2:$F$50,6,0)),1))</f>
        <v>0</v>
      </c>
    </row>
    <row r="39" spans="1:22" ht="15" customHeight="1" x14ac:dyDescent="0.3">
      <c r="A39" s="18" t="s">
        <v>345</v>
      </c>
      <c r="B39" s="18" t="s">
        <v>300</v>
      </c>
      <c r="C39" s="18" t="s">
        <v>81</v>
      </c>
      <c r="D39" s="18" t="s">
        <v>184</v>
      </c>
      <c r="E39" s="25">
        <v>70</v>
      </c>
      <c r="F39" s="15">
        <v>46332</v>
      </c>
      <c r="G39" s="1" t="str">
        <f>IFERROR(VLOOKUP($D39,Artikel!$A$2:$H$60,2,0),"??")</f>
        <v>Achse Ø60x400 S235</v>
      </c>
      <c r="H39" s="1" t="str">
        <f>VLOOKUP($D39,Artikel!$A$2:$H$60,3,0)</f>
        <v>S235JR</v>
      </c>
      <c r="I39" s="1" t="str">
        <f>VLOOKUP($D39,Artikel!$A$2:$H$60,4,0)</f>
        <v>M2</v>
      </c>
      <c r="J39" s="21">
        <f>E39*VLOOKUP($D39,Artikel!$A$2:$H$60,5,0)/60</f>
        <v>12.833333333333334</v>
      </c>
      <c r="K39" s="24">
        <f>VLOOKUP($D39,Artikel!$A$2:$H$60,6,0)+IF(AND(H39="Alu",E39&gt;500),40,0)</f>
        <v>60</v>
      </c>
      <c r="L39" s="21">
        <f t="shared" si="4"/>
        <v>13.833333333333334</v>
      </c>
      <c r="M39" s="24">
        <f t="shared" si="5"/>
        <v>45</v>
      </c>
      <c r="N39" s="24">
        <f t="shared" si="6"/>
        <v>44</v>
      </c>
      <c r="O39" s="14"/>
      <c r="P39" s="24">
        <f t="shared" si="7"/>
        <v>44</v>
      </c>
      <c r="Q39" s="18" t="s">
        <v>301</v>
      </c>
      <c r="R39" s="18"/>
      <c r="S39" s="1" t="str">
        <f>IFERROR(VLOOKUP($D39&amp;"-1",Stückliste!$A$2:$F$50,4,0),"")</f>
        <v>RM-104</v>
      </c>
      <c r="T39" s="21">
        <f>IF(S39="",0,ROUNDUP(E39*VLOOKUP($D39&amp;"-1",Stückliste!$A$2:$F$50,5,0)*(1+VLOOKUP($D39&amp;"-1",Stückliste!$A$2:$F$50,6,0)),1))</f>
        <v>5.1999999999999993</v>
      </c>
      <c r="U39" s="1" t="str">
        <f>IFERROR(VLOOKUP($D39&amp;"-2",Stückliste!$A$2:$F$50,4,0),"")</f>
        <v/>
      </c>
      <c r="V39" s="21">
        <f>IF(U39="",0,ROUNDUP(E39*VLOOKUP($D39&amp;"-2",Stückliste!$A$2:$F$50,5,0)*(1+VLOOKUP($D39&amp;"-2",Stückliste!$A$2:$F$50,6,0)),1))</f>
        <v>0</v>
      </c>
    </row>
    <row r="40" spans="1:22" ht="15" customHeight="1" x14ac:dyDescent="0.3">
      <c r="A40" s="18" t="s">
        <v>346</v>
      </c>
      <c r="B40" s="18" t="s">
        <v>310</v>
      </c>
      <c r="C40" s="18" t="s">
        <v>71</v>
      </c>
      <c r="D40" s="18" t="s">
        <v>228</v>
      </c>
      <c r="E40" s="25">
        <v>200</v>
      </c>
      <c r="F40" s="15">
        <v>46346</v>
      </c>
      <c r="G40" s="1" t="str">
        <f>IFERROR(VLOOKUP($D40,Artikel!$A$2:$H$60,2,0),"??")</f>
        <v>Nabe Ø80 Alu</v>
      </c>
      <c r="H40" s="1" t="str">
        <f>VLOOKUP($D40,Artikel!$A$2:$H$60,3,0)</f>
        <v>Alu</v>
      </c>
      <c r="I40" s="1" t="str">
        <f>VLOOKUP($D40,Artikel!$A$2:$H$60,4,0)</f>
        <v>M1</v>
      </c>
      <c r="J40" s="21">
        <f>E40*VLOOKUP($D40,Artikel!$A$2:$H$60,5,0)/60</f>
        <v>25</v>
      </c>
      <c r="K40" s="24">
        <f>VLOOKUP($D40,Artikel!$A$2:$H$60,6,0)+IF(AND(H40="Alu",E40&gt;500),40,0)</f>
        <v>55</v>
      </c>
      <c r="L40" s="21">
        <f t="shared" si="4"/>
        <v>25.916666666666668</v>
      </c>
      <c r="M40" s="24">
        <f t="shared" si="5"/>
        <v>47</v>
      </c>
      <c r="N40" s="24">
        <f t="shared" si="6"/>
        <v>45</v>
      </c>
      <c r="O40" s="14"/>
      <c r="P40" s="24">
        <f t="shared" si="7"/>
        <v>45</v>
      </c>
      <c r="Q40" s="18" t="s">
        <v>301</v>
      </c>
      <c r="R40" s="18"/>
      <c r="S40" s="1" t="str">
        <f>IFERROR(VLOOKUP($D40&amp;"-1",Stückliste!$A$2:$F$50,4,0),"")</f>
        <v>RM-106</v>
      </c>
      <c r="T40" s="21">
        <f>IF(S40="",0,ROUNDUP(E40*VLOOKUP($D40&amp;"-1",Stückliste!$A$2:$F$50,5,0)*(1+VLOOKUP($D40&amp;"-1",Stückliste!$A$2:$F$50,6,0)),1))</f>
        <v>5.1999999999999993</v>
      </c>
      <c r="U40" s="1" t="str">
        <f>IFERROR(VLOOKUP($D40&amp;"-2",Stückliste!$A$2:$F$50,4,0),"")</f>
        <v/>
      </c>
      <c r="V40" s="21">
        <f>IF(U40="",0,ROUNDUP(E40*VLOOKUP($D40&amp;"-2",Stückliste!$A$2:$F$50,5,0)*(1+VLOOKUP($D40&amp;"-2",Stückliste!$A$2:$F$50,6,0)),1))</f>
        <v>0</v>
      </c>
    </row>
    <row r="41" spans="1:22" ht="15" customHeight="1" x14ac:dyDescent="0.3">
      <c r="A41" s="18" t="s">
        <v>347</v>
      </c>
      <c r="B41" s="18" t="s">
        <v>308</v>
      </c>
      <c r="C41" s="18" t="s">
        <v>87</v>
      </c>
      <c r="D41" s="18" t="s">
        <v>197</v>
      </c>
      <c r="E41" s="25">
        <v>30</v>
      </c>
      <c r="F41" s="15">
        <v>46332</v>
      </c>
      <c r="G41" s="1" t="str">
        <f>IFERROR(VLOOKUP($D41,Artikel!$A$2:$H$60,2,0),"??")</f>
        <v>Grundplatte 400x300 Alu</v>
      </c>
      <c r="H41" s="1" t="str">
        <f>VLOOKUP($D41,Artikel!$A$2:$H$60,3,0)</f>
        <v>Alu</v>
      </c>
      <c r="I41" s="1" t="str">
        <f>VLOOKUP($D41,Artikel!$A$2:$H$60,4,0)</f>
        <v>M4</v>
      </c>
      <c r="J41" s="21">
        <f>E41*VLOOKUP($D41,Artikel!$A$2:$H$60,5,0)/60</f>
        <v>11</v>
      </c>
      <c r="K41" s="24">
        <f>VLOOKUP($D41,Artikel!$A$2:$H$60,6,0)+IF(AND(H41="Alu",E41&gt;500),40,0)</f>
        <v>90</v>
      </c>
      <c r="L41" s="21">
        <f t="shared" si="4"/>
        <v>12.5</v>
      </c>
      <c r="M41" s="24">
        <f t="shared" si="5"/>
        <v>45</v>
      </c>
      <c r="N41" s="24">
        <f t="shared" si="6"/>
        <v>44</v>
      </c>
      <c r="O41" s="14"/>
      <c r="P41" s="24">
        <f t="shared" si="7"/>
        <v>44</v>
      </c>
      <c r="Q41" s="18" t="s">
        <v>301</v>
      </c>
      <c r="R41" s="18"/>
      <c r="S41" s="1" t="str">
        <f>IFERROR(VLOOKUP($D41&amp;"-1",Stückliste!$A$2:$F$50,4,0),"")</f>
        <v>RM-108</v>
      </c>
      <c r="T41" s="21">
        <f>IF(S41="",0,ROUNDUP(E41*VLOOKUP($D41&amp;"-1",Stückliste!$A$2:$F$50,5,0)*(1+VLOOKUP($D41&amp;"-1",Stückliste!$A$2:$F$50,6,0)),1))</f>
        <v>8.2999999999999989</v>
      </c>
      <c r="U41" s="1" t="str">
        <f>IFERROR(VLOOKUP($D41&amp;"-2",Stückliste!$A$2:$F$50,4,0),"")</f>
        <v/>
      </c>
      <c r="V41" s="21">
        <f>IF(U41="",0,ROUNDUP(E41*VLOOKUP($D41&amp;"-2",Stückliste!$A$2:$F$50,5,0)*(1+VLOOKUP($D41&amp;"-2",Stückliste!$A$2:$F$50,6,0)),1))</f>
        <v>0</v>
      </c>
    </row>
    <row r="42" spans="1:22" ht="15" customHeight="1" x14ac:dyDescent="0.3">
      <c r="A42" s="18" t="s">
        <v>348</v>
      </c>
      <c r="B42" s="18" t="s">
        <v>312</v>
      </c>
      <c r="C42" s="18" t="s">
        <v>81</v>
      </c>
      <c r="D42" s="18" t="s">
        <v>221</v>
      </c>
      <c r="E42" s="25">
        <v>2000</v>
      </c>
      <c r="F42" s="15">
        <v>46339</v>
      </c>
      <c r="G42" s="1" t="str">
        <f>IFERROR(VLOOKUP($D42,Artikel!$A$2:$H$60,2,0),"??")</f>
        <v>Stift Ø16x80 1.4404</v>
      </c>
      <c r="H42" s="1" t="str">
        <f>VLOOKUP($D42,Artikel!$A$2:$H$60,3,0)</f>
        <v>1.4404</v>
      </c>
      <c r="I42" s="1" t="str">
        <f>VLOOKUP($D42,Artikel!$A$2:$H$60,4,0)</f>
        <v>M2</v>
      </c>
      <c r="J42" s="21">
        <f>E42*VLOOKUP($D42,Artikel!$A$2:$H$60,5,0)/60</f>
        <v>53.333333333333336</v>
      </c>
      <c r="K42" s="24">
        <f>VLOOKUP($D42,Artikel!$A$2:$H$60,6,0)+IF(AND(H42="Alu",E42&gt;500),40,0)</f>
        <v>30</v>
      </c>
      <c r="L42" s="21">
        <f t="shared" si="4"/>
        <v>53.833333333333336</v>
      </c>
      <c r="M42" s="24">
        <f t="shared" si="5"/>
        <v>46</v>
      </c>
      <c r="N42" s="24">
        <f t="shared" si="6"/>
        <v>45</v>
      </c>
      <c r="O42" s="14"/>
      <c r="P42" s="24">
        <f t="shared" si="7"/>
        <v>45</v>
      </c>
      <c r="Q42" s="18" t="s">
        <v>301</v>
      </c>
      <c r="R42" s="18"/>
      <c r="S42" s="1" t="str">
        <f>IFERROR(VLOOKUP($D42&amp;"-1",Stückliste!$A$2:$F$50,4,0),"")</f>
        <v>RM-115</v>
      </c>
      <c r="T42" s="21">
        <f>IF(S42="",0,ROUNDUP(E42*VLOOKUP($D42&amp;"-1",Stückliste!$A$2:$F$50,5,0)*(1+VLOOKUP($D42&amp;"-1",Stückliste!$A$2:$F$50,6,0)),1))</f>
        <v>31.5</v>
      </c>
      <c r="U42" s="1" t="str">
        <f>IFERROR(VLOOKUP($D42&amp;"-2",Stückliste!$A$2:$F$50,4,0),"")</f>
        <v/>
      </c>
      <c r="V42" s="21">
        <f>IF(U42="",0,ROUNDUP(E42*VLOOKUP($D42&amp;"-2",Stückliste!$A$2:$F$50,5,0)*(1+VLOOKUP($D42&amp;"-2",Stückliste!$A$2:$F$50,6,0)),1))</f>
        <v>0</v>
      </c>
    </row>
    <row r="43" spans="1:22" ht="15" customHeight="1" x14ac:dyDescent="0.3">
      <c r="A43" s="18" t="s">
        <v>349</v>
      </c>
      <c r="B43" s="18" t="s">
        <v>315</v>
      </c>
      <c r="C43" s="18" t="s">
        <v>81</v>
      </c>
      <c r="D43" s="18" t="s">
        <v>234</v>
      </c>
      <c r="E43" s="25">
        <v>20</v>
      </c>
      <c r="F43" s="15">
        <v>46339</v>
      </c>
      <c r="G43" s="1" t="str">
        <f>IFERROR(VLOOKUP($D43,Artikel!$A$2:$H$60,2,0),"??")</f>
        <v>Lagerbock GG25 kompl.</v>
      </c>
      <c r="H43" s="1" t="str">
        <f>VLOOKUP($D43,Artikel!$A$2:$H$60,3,0)</f>
        <v>GG25</v>
      </c>
      <c r="I43" s="1" t="str">
        <f>VLOOKUP($D43,Artikel!$A$2:$H$60,4,0)</f>
        <v>M4</v>
      </c>
      <c r="J43" s="21">
        <f>E43*VLOOKUP($D43,Artikel!$A$2:$H$60,5,0)/60</f>
        <v>8.3333333333333339</v>
      </c>
      <c r="K43" s="24">
        <f>VLOOKUP($D43,Artikel!$A$2:$H$60,6,0)+IF(AND(H43="Alu",E43&gt;500),40,0)</f>
        <v>120</v>
      </c>
      <c r="L43" s="21">
        <f t="shared" si="4"/>
        <v>10.333333333333334</v>
      </c>
      <c r="M43" s="24">
        <f t="shared" si="5"/>
        <v>46</v>
      </c>
      <c r="N43" s="24">
        <f t="shared" si="6"/>
        <v>45</v>
      </c>
      <c r="O43" s="14"/>
      <c r="P43" s="24">
        <f t="shared" si="7"/>
        <v>45</v>
      </c>
      <c r="Q43" s="18" t="s">
        <v>301</v>
      </c>
      <c r="R43" s="18"/>
      <c r="S43" s="1" t="str">
        <f>IFERROR(VLOOKUP($D43&amp;"-1",Stückliste!$A$2:$F$50,4,0),"")</f>
        <v>RM-109</v>
      </c>
      <c r="T43" s="21">
        <f>IF(S43="",0,ROUNDUP(E43*VLOOKUP($D43&amp;"-1",Stückliste!$A$2:$F$50,5,0)*(1+VLOOKUP($D43&amp;"-1",Stückliste!$A$2:$F$50,6,0)),1))</f>
        <v>20</v>
      </c>
      <c r="U43" s="1" t="str">
        <f>IFERROR(VLOOKUP($D43&amp;"-2",Stückliste!$A$2:$F$50,4,0),"")</f>
        <v>RM-110</v>
      </c>
      <c r="V43" s="21">
        <f>IF(U43="",0,ROUNDUP(E43*VLOOKUP($D43&amp;"-2",Stückliste!$A$2:$F$50,5,0)*(1+VLOOKUP($D43&amp;"-2",Stückliste!$A$2:$F$50,6,0)),1))</f>
        <v>20</v>
      </c>
    </row>
    <row r="44" spans="1:22" ht="15" customHeight="1" x14ac:dyDescent="0.3">
      <c r="A44" s="18" t="s">
        <v>350</v>
      </c>
      <c r="B44" s="18" t="s">
        <v>297</v>
      </c>
      <c r="C44" s="18" t="s">
        <v>81</v>
      </c>
      <c r="D44" s="18" t="s">
        <v>191</v>
      </c>
      <c r="E44" s="25">
        <v>150</v>
      </c>
      <c r="F44" s="15">
        <v>46339</v>
      </c>
      <c r="G44" s="1" t="str">
        <f>IFERROR(VLOOKUP($D44,Artikel!$A$2:$H$60,2,0),"??")</f>
        <v>Flansch DN80 Alu</v>
      </c>
      <c r="H44" s="1" t="str">
        <f>VLOOKUP($D44,Artikel!$A$2:$H$60,3,0)</f>
        <v>Alu</v>
      </c>
      <c r="I44" s="1" t="str">
        <f>VLOOKUP($D44,Artikel!$A$2:$H$60,4,0)</f>
        <v>M3</v>
      </c>
      <c r="J44" s="21">
        <f>E44*VLOOKUP($D44,Artikel!$A$2:$H$60,5,0)/60</f>
        <v>20</v>
      </c>
      <c r="K44" s="24">
        <f>VLOOKUP($D44,Artikel!$A$2:$H$60,6,0)+IF(AND(H44="Alu",E44&gt;500),40,0)</f>
        <v>50</v>
      </c>
      <c r="L44" s="21">
        <f t="shared" si="4"/>
        <v>20.833333333333332</v>
      </c>
      <c r="M44" s="24">
        <f t="shared" si="5"/>
        <v>46</v>
      </c>
      <c r="N44" s="24">
        <f t="shared" si="6"/>
        <v>45</v>
      </c>
      <c r="O44" s="14"/>
      <c r="P44" s="24">
        <f t="shared" si="7"/>
        <v>45</v>
      </c>
      <c r="Q44" s="18" t="s">
        <v>301</v>
      </c>
      <c r="R44" s="18"/>
      <c r="S44" s="1" t="str">
        <f>IFERROR(VLOOKUP($D44&amp;"-1",Stückliste!$A$2:$F$50,4,0),"")</f>
        <v>RM-107</v>
      </c>
      <c r="T44" s="21">
        <f>IF(S44="",0,ROUNDUP(E44*VLOOKUP($D44&amp;"-1",Stückliste!$A$2:$F$50,5,0)*(1+VLOOKUP($D44&amp;"-1",Stückliste!$A$2:$F$50,6,0)),1))</f>
        <v>4.1999999999999993</v>
      </c>
      <c r="U44" s="1" t="str">
        <f>IFERROR(VLOOKUP($D44&amp;"-2",Stückliste!$A$2:$F$50,4,0),"")</f>
        <v/>
      </c>
      <c r="V44" s="21">
        <f>IF(U44="",0,ROUNDUP(E44*VLOOKUP($D44&amp;"-2",Stückliste!$A$2:$F$50,5,0)*(1+VLOOKUP($D44&amp;"-2",Stückliste!$A$2:$F$50,6,0)),1))</f>
        <v>0</v>
      </c>
    </row>
    <row r="45" spans="1:22" ht="15" customHeight="1" x14ac:dyDescent="0.3">
      <c r="A45" s="18" t="s">
        <v>351</v>
      </c>
      <c r="B45" s="18" t="s">
        <v>291</v>
      </c>
      <c r="C45" s="18" t="s">
        <v>71</v>
      </c>
      <c r="D45" s="18" t="s">
        <v>225</v>
      </c>
      <c r="E45" s="25">
        <v>700</v>
      </c>
      <c r="F45" s="15">
        <v>46353</v>
      </c>
      <c r="G45" s="1" t="str">
        <f>IFERROR(VLOOKUP($D45,Artikel!$A$2:$H$60,2,0),"??")</f>
        <v>Distanzhülse Ø50 Alu</v>
      </c>
      <c r="H45" s="1" t="str">
        <f>VLOOKUP($D45,Artikel!$A$2:$H$60,3,0)</f>
        <v>Alu</v>
      </c>
      <c r="I45" s="1" t="str">
        <f>VLOOKUP($D45,Artikel!$A$2:$H$60,4,0)</f>
        <v>M1</v>
      </c>
      <c r="J45" s="21">
        <f>E45*VLOOKUP($D45,Artikel!$A$2:$H$60,5,0)/60</f>
        <v>37.333333333333336</v>
      </c>
      <c r="K45" s="24">
        <f>VLOOKUP($D45,Artikel!$A$2:$H$60,6,0)+IF(AND(H45="Alu",E45&gt;500),40,0)</f>
        <v>80</v>
      </c>
      <c r="L45" s="21">
        <f t="shared" si="4"/>
        <v>38.666666666666671</v>
      </c>
      <c r="M45" s="24">
        <f t="shared" si="5"/>
        <v>48</v>
      </c>
      <c r="N45" s="24">
        <f t="shared" si="6"/>
        <v>46</v>
      </c>
      <c r="O45" s="14"/>
      <c r="P45" s="24">
        <f t="shared" si="7"/>
        <v>46</v>
      </c>
      <c r="Q45" s="18" t="s">
        <v>301</v>
      </c>
      <c r="R45" s="18"/>
      <c r="S45" s="1" t="str">
        <f>IFERROR(VLOOKUP($D45&amp;"-1",Stückliste!$A$2:$F$50,4,0),"")</f>
        <v>RM-105</v>
      </c>
      <c r="T45" s="21">
        <f>IF(S45="",0,ROUNDUP(E45*VLOOKUP($D45&amp;"-1",Stückliste!$A$2:$F$50,5,0)*(1+VLOOKUP($D45&amp;"-1",Stückliste!$A$2:$F$50,6,0)),1))</f>
        <v>8.4</v>
      </c>
      <c r="U45" s="1" t="str">
        <f>IFERROR(VLOOKUP($D45&amp;"-2",Stückliste!$A$2:$F$50,4,0),"")</f>
        <v/>
      </c>
      <c r="V45" s="21">
        <f>IF(U45="",0,ROUNDUP(E45*VLOOKUP($D45&amp;"-2",Stückliste!$A$2:$F$50,5,0)*(1+VLOOKUP($D45&amp;"-2",Stückliste!$A$2:$F$50,6,0)),1))</f>
        <v>0</v>
      </c>
    </row>
    <row r="46" spans="1:22" ht="15" customHeight="1" x14ac:dyDescent="0.3">
      <c r="A46" s="18" t="s">
        <v>352</v>
      </c>
      <c r="B46" s="18" t="s">
        <v>317</v>
      </c>
      <c r="C46" s="18" t="s">
        <v>87</v>
      </c>
      <c r="D46" s="18" t="s">
        <v>211</v>
      </c>
      <c r="E46" s="25">
        <v>300</v>
      </c>
      <c r="F46" s="15">
        <v>46339</v>
      </c>
      <c r="G46" s="1" t="str">
        <f>IFERROR(VLOOKUP($D46,Artikel!$A$2:$H$60,2,0),"??")</f>
        <v>Anschlussnippel Ø25 Ms</v>
      </c>
      <c r="H46" s="1" t="str">
        <f>VLOOKUP($D46,Artikel!$A$2:$H$60,3,0)</f>
        <v>Messing</v>
      </c>
      <c r="I46" s="1" t="str">
        <f>VLOOKUP($D46,Artikel!$A$2:$H$60,4,0)</f>
        <v>M1</v>
      </c>
      <c r="J46" s="21">
        <f>E46*VLOOKUP($D46,Artikel!$A$2:$H$60,5,0)/60</f>
        <v>11</v>
      </c>
      <c r="K46" s="24">
        <f>VLOOKUP($D46,Artikel!$A$2:$H$60,6,0)+IF(AND(H46="Alu",E46&gt;500),40,0)</f>
        <v>35</v>
      </c>
      <c r="L46" s="21">
        <f t="shared" si="4"/>
        <v>11.583333333333334</v>
      </c>
      <c r="M46" s="24">
        <f t="shared" si="5"/>
        <v>46</v>
      </c>
      <c r="N46" s="24">
        <f t="shared" si="6"/>
        <v>45</v>
      </c>
      <c r="O46" s="14"/>
      <c r="P46" s="24">
        <f t="shared" si="7"/>
        <v>45</v>
      </c>
      <c r="Q46" s="18" t="s">
        <v>301</v>
      </c>
      <c r="R46" s="18"/>
      <c r="S46" s="1" t="str">
        <f>IFERROR(VLOOKUP($D46&amp;"-1",Stückliste!$A$2:$F$50,4,0),"")</f>
        <v>RM-112</v>
      </c>
      <c r="T46" s="21">
        <f>IF(S46="",0,ROUNDUP(E46*VLOOKUP($D46&amp;"-1",Stückliste!$A$2:$F$50,5,0)*(1+VLOOKUP($D46&amp;"-1",Stückliste!$A$2:$F$50,6,0)),1))</f>
        <v>5.6999999999999993</v>
      </c>
      <c r="U46" s="1" t="str">
        <f>IFERROR(VLOOKUP($D46&amp;"-2",Stückliste!$A$2:$F$50,4,0),"")</f>
        <v/>
      </c>
      <c r="V46" s="21">
        <f>IF(U46="",0,ROUNDUP(E46*VLOOKUP($D46&amp;"-2",Stückliste!$A$2:$F$50,5,0)*(1+VLOOKUP($D46&amp;"-2",Stückliste!$A$2:$F$50,6,0)),1))</f>
        <v>0</v>
      </c>
    </row>
    <row r="47" spans="1:22" ht="15" customHeight="1" x14ac:dyDescent="0.3">
      <c r="A47" s="18" t="s">
        <v>353</v>
      </c>
      <c r="B47" s="18" t="s">
        <v>306</v>
      </c>
      <c r="C47" s="18" t="s">
        <v>81</v>
      </c>
      <c r="D47" s="18" t="s">
        <v>187</v>
      </c>
      <c r="E47" s="25">
        <v>300</v>
      </c>
      <c r="F47" s="15">
        <v>46346</v>
      </c>
      <c r="G47" s="1" t="str">
        <f>IFERROR(VLOOKUP($D47,Artikel!$A$2:$H$60,2,0),"??")</f>
        <v>Flansch DN50 Alu</v>
      </c>
      <c r="H47" s="1" t="str">
        <f>VLOOKUP($D47,Artikel!$A$2:$H$60,3,0)</f>
        <v>Alu</v>
      </c>
      <c r="I47" s="1" t="str">
        <f>VLOOKUP($D47,Artikel!$A$2:$H$60,4,0)</f>
        <v>M3</v>
      </c>
      <c r="J47" s="21">
        <f>E47*VLOOKUP($D47,Artikel!$A$2:$H$60,5,0)/60</f>
        <v>20</v>
      </c>
      <c r="K47" s="24">
        <f>VLOOKUP($D47,Artikel!$A$2:$H$60,6,0)+IF(AND(H47="Alu",E47&gt;500),40,0)</f>
        <v>50</v>
      </c>
      <c r="L47" s="21">
        <f t="shared" si="4"/>
        <v>20.833333333333332</v>
      </c>
      <c r="M47" s="24">
        <f t="shared" si="5"/>
        <v>47</v>
      </c>
      <c r="N47" s="24">
        <f t="shared" si="6"/>
        <v>46</v>
      </c>
      <c r="O47" s="14"/>
      <c r="P47" s="24">
        <f t="shared" si="7"/>
        <v>46</v>
      </c>
      <c r="Q47" s="18" t="s">
        <v>301</v>
      </c>
      <c r="R47" s="18"/>
      <c r="S47" s="1" t="str">
        <f>IFERROR(VLOOKUP($D47&amp;"-1",Stückliste!$A$2:$F$50,4,0),"")</f>
        <v>RM-106</v>
      </c>
      <c r="T47" s="21">
        <f>IF(S47="",0,ROUNDUP(E47*VLOOKUP($D47&amp;"-1",Stückliste!$A$2:$F$50,5,0)*(1+VLOOKUP($D47&amp;"-1",Stückliste!$A$2:$F$50,6,0)),1))</f>
        <v>4.5999999999999996</v>
      </c>
      <c r="U47" s="1" t="str">
        <f>IFERROR(VLOOKUP($D47&amp;"-2",Stückliste!$A$2:$F$50,4,0),"")</f>
        <v/>
      </c>
      <c r="V47" s="21">
        <f>IF(U47="",0,ROUNDUP(E47*VLOOKUP($D47&amp;"-2",Stückliste!$A$2:$F$50,5,0)*(1+VLOOKUP($D47&amp;"-2",Stückliste!$A$2:$F$50,6,0)),1))</f>
        <v>0</v>
      </c>
    </row>
    <row r="48" spans="1:22" ht="15" customHeight="1" x14ac:dyDescent="0.3">
      <c r="A48" s="18" t="s">
        <v>354</v>
      </c>
      <c r="B48" s="18" t="s">
        <v>295</v>
      </c>
      <c r="C48" s="18" t="s">
        <v>81</v>
      </c>
      <c r="D48" s="18" t="s">
        <v>218</v>
      </c>
      <c r="E48" s="25">
        <v>500</v>
      </c>
      <c r="F48" s="15">
        <v>46346</v>
      </c>
      <c r="G48" s="1" t="str">
        <f>IFERROR(VLOOKUP($D48,Artikel!$A$2:$H$60,2,0),"??")</f>
        <v>Halter 60x10 S235</v>
      </c>
      <c r="H48" s="1" t="str">
        <f>VLOOKUP($D48,Artikel!$A$2:$H$60,3,0)</f>
        <v>S235JR</v>
      </c>
      <c r="I48" s="1" t="str">
        <f>VLOOKUP($D48,Artikel!$A$2:$H$60,4,0)</f>
        <v>M4</v>
      </c>
      <c r="J48" s="21">
        <f>E48*VLOOKUP($D48,Artikel!$A$2:$H$60,5,0)/60</f>
        <v>29.166666666666668</v>
      </c>
      <c r="K48" s="24">
        <f>VLOOKUP($D48,Artikel!$A$2:$H$60,6,0)+IF(AND(H48="Alu",E48&gt;500),40,0)</f>
        <v>40</v>
      </c>
      <c r="L48" s="21">
        <f t="shared" si="4"/>
        <v>29.833333333333336</v>
      </c>
      <c r="M48" s="24">
        <f t="shared" si="5"/>
        <v>47</v>
      </c>
      <c r="N48" s="24">
        <f t="shared" si="6"/>
        <v>46</v>
      </c>
      <c r="O48" s="14"/>
      <c r="P48" s="24">
        <f t="shared" si="7"/>
        <v>46</v>
      </c>
      <c r="Q48" s="18" t="s">
        <v>301</v>
      </c>
      <c r="R48" s="18"/>
      <c r="S48" s="1" t="str">
        <f>IFERROR(VLOOKUP($D48&amp;"-1",Stückliste!$A$2:$F$50,4,0),"")</f>
        <v>RM-114</v>
      </c>
      <c r="T48" s="21">
        <f>IF(S48="",0,ROUNDUP(E48*VLOOKUP($D48&amp;"-1",Stückliste!$A$2:$F$50,5,0)*(1+VLOOKUP($D48&amp;"-1",Stückliste!$A$2:$F$50,6,0)),1))</f>
        <v>18.400000000000002</v>
      </c>
      <c r="U48" s="1" t="str">
        <f>IFERROR(VLOOKUP($D48&amp;"-2",Stückliste!$A$2:$F$50,4,0),"")</f>
        <v/>
      </c>
      <c r="V48" s="21">
        <f>IF(U48="",0,ROUNDUP(E48*VLOOKUP($D48&amp;"-2",Stückliste!$A$2:$F$50,5,0)*(1+VLOOKUP($D48&amp;"-2",Stückliste!$A$2:$F$50,6,0)),1))</f>
        <v>0</v>
      </c>
    </row>
    <row r="49" spans="1:22" ht="15" customHeight="1" x14ac:dyDescent="0.3">
      <c r="A49" s="18" t="s">
        <v>355</v>
      </c>
      <c r="B49" s="18" t="s">
        <v>300</v>
      </c>
      <c r="C49" s="18" t="s">
        <v>81</v>
      </c>
      <c r="D49" s="18" t="s">
        <v>180</v>
      </c>
      <c r="E49" s="25">
        <v>800</v>
      </c>
      <c r="F49" s="15">
        <v>46346</v>
      </c>
      <c r="G49" s="1" t="str">
        <f>IFERROR(VLOOKUP($D49,Artikel!$A$2:$H$60,2,0),"??")</f>
        <v>Bolzen Ø30x120 S235</v>
      </c>
      <c r="H49" s="1" t="str">
        <f>VLOOKUP($D49,Artikel!$A$2:$H$60,3,0)</f>
        <v>S235JR</v>
      </c>
      <c r="I49" s="1" t="str">
        <f>VLOOKUP($D49,Artikel!$A$2:$H$60,4,0)</f>
        <v>M2</v>
      </c>
      <c r="J49" s="21">
        <f>E49*VLOOKUP($D49,Artikel!$A$2:$H$60,5,0)/60</f>
        <v>37.333333333333336</v>
      </c>
      <c r="K49" s="24">
        <f>VLOOKUP($D49,Artikel!$A$2:$H$60,6,0)+IF(AND(H49="Alu",E49&gt;500),40,0)</f>
        <v>30</v>
      </c>
      <c r="L49" s="21">
        <f t="shared" si="4"/>
        <v>37.833333333333336</v>
      </c>
      <c r="M49" s="24">
        <f t="shared" si="5"/>
        <v>47</v>
      </c>
      <c r="N49" s="24">
        <f t="shared" si="6"/>
        <v>46</v>
      </c>
      <c r="O49" s="14"/>
      <c r="P49" s="24">
        <f t="shared" si="7"/>
        <v>46</v>
      </c>
      <c r="Q49" s="18" t="s">
        <v>301</v>
      </c>
      <c r="R49" s="18"/>
      <c r="S49" s="1" t="str">
        <f>IFERROR(VLOOKUP($D49&amp;"-1",Stückliste!$A$2:$F$50,4,0),"")</f>
        <v>RM-103</v>
      </c>
      <c r="T49" s="21">
        <f>IF(S49="",0,ROUNDUP(E49*VLOOKUP($D49&amp;"-1",Stückliste!$A$2:$F$50,5,0)*(1+VLOOKUP($D49&amp;"-1",Stückliste!$A$2:$F$50,6,0)),1))</f>
        <v>18.5</v>
      </c>
      <c r="U49" s="1" t="str">
        <f>IFERROR(VLOOKUP($D49&amp;"-2",Stückliste!$A$2:$F$50,4,0),"")</f>
        <v/>
      </c>
      <c r="V49" s="21">
        <f>IF(U49="",0,ROUNDUP(E49*VLOOKUP($D49&amp;"-2",Stückliste!$A$2:$F$50,5,0)*(1+VLOOKUP($D49&amp;"-2",Stückliste!$A$2:$F$50,6,0)),1))</f>
        <v>0</v>
      </c>
    </row>
    <row r="50" spans="1:22" ht="15" customHeight="1" x14ac:dyDescent="0.3">
      <c r="A50" s="18" t="s">
        <v>356</v>
      </c>
      <c r="B50" s="18" t="s">
        <v>310</v>
      </c>
      <c r="C50" s="18" t="s">
        <v>71</v>
      </c>
      <c r="D50" s="18" t="s">
        <v>172</v>
      </c>
      <c r="E50" s="25">
        <v>400</v>
      </c>
      <c r="F50" s="15">
        <v>46360</v>
      </c>
      <c r="G50" s="1" t="str">
        <f>IFERROR(VLOOKUP($D50,Artikel!$A$2:$H$60,2,0),"??")</f>
        <v>Welle Ø20x200 1.4301</v>
      </c>
      <c r="H50" s="1" t="str">
        <f>VLOOKUP($D50,Artikel!$A$2:$H$60,3,0)</f>
        <v>1.4301</v>
      </c>
      <c r="I50" s="1" t="str">
        <f>VLOOKUP($D50,Artikel!$A$2:$H$60,4,0)</f>
        <v>M1</v>
      </c>
      <c r="J50" s="21">
        <f>E50*VLOOKUP($D50,Artikel!$A$2:$H$60,5,0)/60</f>
        <v>30</v>
      </c>
      <c r="K50" s="24">
        <f>VLOOKUP($D50,Artikel!$A$2:$H$60,6,0)+IF(AND(H50="Alu",E50&gt;500),40,0)</f>
        <v>45</v>
      </c>
      <c r="L50" s="21">
        <f t="shared" si="4"/>
        <v>30.75</v>
      </c>
      <c r="M50" s="24">
        <f t="shared" si="5"/>
        <v>49</v>
      </c>
      <c r="N50" s="24">
        <f t="shared" si="6"/>
        <v>47</v>
      </c>
      <c r="O50" s="14"/>
      <c r="P50" s="24">
        <f t="shared" si="7"/>
        <v>47</v>
      </c>
      <c r="Q50" s="18" t="s">
        <v>301</v>
      </c>
      <c r="R50" s="18"/>
      <c r="S50" s="1" t="str">
        <f>IFERROR(VLOOKUP($D50&amp;"-1",Stückliste!$A$2:$F$50,4,0),"")</f>
        <v>RM-101</v>
      </c>
      <c r="T50" s="21">
        <f>IF(S50="",0,ROUNDUP(E50*VLOOKUP($D50&amp;"-1",Stückliste!$A$2:$F$50,5,0)*(1+VLOOKUP($D50&amp;"-1",Stückliste!$A$2:$F$50,6,0)),1))</f>
        <v>15.2</v>
      </c>
      <c r="U50" s="1" t="str">
        <f>IFERROR(VLOOKUP($D50&amp;"-2",Stückliste!$A$2:$F$50,4,0),"")</f>
        <v/>
      </c>
      <c r="V50" s="21">
        <f>IF(U50="",0,ROUNDUP(E50*VLOOKUP($D50&amp;"-2",Stückliste!$A$2:$F$50,5,0)*(1+VLOOKUP($D50&amp;"-2",Stückliste!$A$2:$F$50,6,0)),1))</f>
        <v>0</v>
      </c>
    </row>
    <row r="51" spans="1:22" ht="15" customHeight="1" x14ac:dyDescent="0.3">
      <c r="A51" s="18" t="s">
        <v>357</v>
      </c>
      <c r="B51" s="18" t="s">
        <v>315</v>
      </c>
      <c r="C51" s="18" t="s">
        <v>81</v>
      </c>
      <c r="D51" s="18" t="s">
        <v>231</v>
      </c>
      <c r="E51" s="25">
        <v>80</v>
      </c>
      <c r="F51" s="15">
        <v>46346</v>
      </c>
      <c r="G51" s="1" t="str">
        <f>IFERROR(VLOOKUP($D51,Artikel!$A$2:$H$60,2,0),"??")</f>
        <v>Zwischenplatte 20 Alu</v>
      </c>
      <c r="H51" s="1" t="str">
        <f>VLOOKUP($D51,Artikel!$A$2:$H$60,3,0)</f>
        <v>Alu</v>
      </c>
      <c r="I51" s="1" t="str">
        <f>VLOOKUP($D51,Artikel!$A$2:$H$60,4,0)</f>
        <v>M4</v>
      </c>
      <c r="J51" s="21">
        <f>E51*VLOOKUP($D51,Artikel!$A$2:$H$60,5,0)/60</f>
        <v>12</v>
      </c>
      <c r="K51" s="24">
        <f>VLOOKUP($D51,Artikel!$A$2:$H$60,6,0)+IF(AND(H51="Alu",E51&gt;500),40,0)</f>
        <v>70</v>
      </c>
      <c r="L51" s="21">
        <f t="shared" si="4"/>
        <v>13.166666666666666</v>
      </c>
      <c r="M51" s="24">
        <f t="shared" si="5"/>
        <v>47</v>
      </c>
      <c r="N51" s="24">
        <f t="shared" si="6"/>
        <v>46</v>
      </c>
      <c r="O51" s="14"/>
      <c r="P51" s="24">
        <f t="shared" si="7"/>
        <v>46</v>
      </c>
      <c r="Q51" s="18" t="s">
        <v>301</v>
      </c>
      <c r="R51" s="18"/>
      <c r="S51" s="1" t="str">
        <f>IFERROR(VLOOKUP($D51&amp;"-1",Stückliste!$A$2:$F$50,4,0),"")</f>
        <v>RM-107</v>
      </c>
      <c r="T51" s="21">
        <f>IF(S51="",0,ROUNDUP(E51*VLOOKUP($D51&amp;"-1",Stückliste!$A$2:$F$50,5,0)*(1+VLOOKUP($D51&amp;"-1",Stückliste!$A$2:$F$50,6,0)),1))</f>
        <v>8.8000000000000007</v>
      </c>
      <c r="U51" s="1" t="str">
        <f>IFERROR(VLOOKUP($D51&amp;"-2",Stückliste!$A$2:$F$50,4,0),"")</f>
        <v/>
      </c>
      <c r="V51" s="21">
        <f>IF(U51="",0,ROUNDUP(E51*VLOOKUP($D51&amp;"-2",Stückliste!$A$2:$F$50,5,0)*(1+VLOOKUP($D51&amp;"-2",Stückliste!$A$2:$F$50,6,0)),1))</f>
        <v>0</v>
      </c>
    </row>
    <row r="52" spans="1:22" ht="15" customHeight="1" x14ac:dyDescent="0.3">
      <c r="A52" s="18" t="s">
        <v>358</v>
      </c>
      <c r="B52" s="18" t="s">
        <v>308</v>
      </c>
      <c r="C52" s="18" t="s">
        <v>87</v>
      </c>
      <c r="D52" s="18" t="s">
        <v>194</v>
      </c>
      <c r="E52" s="25">
        <v>40</v>
      </c>
      <c r="F52" s="15">
        <v>46346</v>
      </c>
      <c r="G52" s="1" t="str">
        <f>IFERROR(VLOOKUP($D52,Artikel!$A$2:$H$60,2,0),"??")</f>
        <v>Adapterplatte 200x150 Alu</v>
      </c>
      <c r="H52" s="1" t="str">
        <f>VLOOKUP($D52,Artikel!$A$2:$H$60,3,0)</f>
        <v>Alu</v>
      </c>
      <c r="I52" s="1" t="str">
        <f>VLOOKUP($D52,Artikel!$A$2:$H$60,4,0)</f>
        <v>M4</v>
      </c>
      <c r="J52" s="21">
        <f>E52*VLOOKUP($D52,Artikel!$A$2:$H$60,5,0)/60</f>
        <v>8</v>
      </c>
      <c r="K52" s="24">
        <f>VLOOKUP($D52,Artikel!$A$2:$H$60,6,0)+IF(AND(H52="Alu",E52&gt;500),40,0)</f>
        <v>75</v>
      </c>
      <c r="L52" s="21">
        <f t="shared" si="4"/>
        <v>9.25</v>
      </c>
      <c r="M52" s="24">
        <f t="shared" si="5"/>
        <v>47</v>
      </c>
      <c r="N52" s="24">
        <f t="shared" si="6"/>
        <v>46</v>
      </c>
      <c r="O52" s="14"/>
      <c r="P52" s="24">
        <f t="shared" si="7"/>
        <v>46</v>
      </c>
      <c r="Q52" s="18" t="s">
        <v>301</v>
      </c>
      <c r="R52" s="18" t="s">
        <v>359</v>
      </c>
      <c r="S52" s="1" t="str">
        <f>IFERROR(VLOOKUP($D52&amp;"-1",Stückliste!$A$2:$F$50,4,0),"")</f>
        <v>RM-107</v>
      </c>
      <c r="T52" s="21">
        <f>IF(S52="",0,ROUNDUP(E52*VLOOKUP($D52&amp;"-1",Stückliste!$A$2:$F$50,5,0)*(1+VLOOKUP($D52&amp;"-1",Stückliste!$A$2:$F$50,6,0)),1))</f>
        <v>2.8000000000000003</v>
      </c>
      <c r="U52" s="1" t="str">
        <f>IFERROR(VLOOKUP($D52&amp;"-2",Stückliste!$A$2:$F$50,4,0),"")</f>
        <v/>
      </c>
      <c r="V52" s="21">
        <f>IF(U52="",0,ROUNDUP(E52*VLOOKUP($D52&amp;"-2",Stückliste!$A$2:$F$50,5,0)*(1+VLOOKUP($D52&amp;"-2",Stückliste!$A$2:$F$50,6,0)),1))</f>
        <v>0</v>
      </c>
    </row>
    <row r="53" spans="1:22" ht="15" customHeight="1" x14ac:dyDescent="0.3">
      <c r="A53" s="18" t="s">
        <v>360</v>
      </c>
      <c r="B53" s="18" t="s">
        <v>308</v>
      </c>
      <c r="C53" s="18" t="s">
        <v>87</v>
      </c>
      <c r="D53" s="18" t="s">
        <v>197</v>
      </c>
      <c r="E53" s="25">
        <v>40</v>
      </c>
      <c r="F53" s="15">
        <v>46325</v>
      </c>
      <c r="G53" s="1" t="str">
        <f>IFERROR(VLOOKUP($D53,Artikel!$A$2:$H$60,2,0),"??")</f>
        <v>Grundplatte 400x300 Alu</v>
      </c>
      <c r="H53" s="1" t="str">
        <f>VLOOKUP($D53,Artikel!$A$2:$H$60,3,0)</f>
        <v>Alu</v>
      </c>
      <c r="I53" s="1" t="str">
        <f>VLOOKUP($D53,Artikel!$A$2:$H$60,4,0)</f>
        <v>M4</v>
      </c>
      <c r="J53" s="21">
        <f>E53*VLOOKUP($D53,Artikel!$A$2:$H$60,5,0)/60</f>
        <v>14.666666666666666</v>
      </c>
      <c r="K53" s="24">
        <f>VLOOKUP($D53,Artikel!$A$2:$H$60,6,0)+IF(AND(H53="Alu",E53&gt;500),40,0)</f>
        <v>90</v>
      </c>
      <c r="L53" s="21">
        <f t="shared" si="4"/>
        <v>16.166666666666664</v>
      </c>
      <c r="M53" s="24">
        <f t="shared" si="5"/>
        <v>44</v>
      </c>
      <c r="N53" s="24">
        <f t="shared" si="6"/>
        <v>43</v>
      </c>
      <c r="O53" s="14">
        <v>44</v>
      </c>
      <c r="P53" s="24">
        <f t="shared" si="7"/>
        <v>44</v>
      </c>
      <c r="Q53" s="18" t="s">
        <v>301</v>
      </c>
      <c r="R53" s="18" t="s">
        <v>434</v>
      </c>
      <c r="S53" s="1" t="str">
        <f>IFERROR(VLOOKUP($D53&amp;"-1",Stückliste!$A$2:$F$50,4,0),"")</f>
        <v>RM-108</v>
      </c>
      <c r="T53" s="21">
        <f>IF(S53="",0,ROUNDUP(E53*VLOOKUP($D53&amp;"-1",Stückliste!$A$2:$F$50,5,0)*(1+VLOOKUP($D53&amp;"-1",Stückliste!$A$2:$F$50,6,0)),1))</f>
        <v>11</v>
      </c>
      <c r="U53" s="1" t="str">
        <f>IFERROR(VLOOKUP($D53&amp;"-2",Stückliste!$A$2:$F$50,4,0),"")</f>
        <v/>
      </c>
      <c r="V53" s="21">
        <f>IF(U53="",0,ROUNDUP(E53*VLOOKUP($D53&amp;"-2",Stückliste!$A$2:$F$50,5,0)*(1+VLOOKUP($D53&amp;"-2",Stückliste!$A$2:$F$50,6,0)),1))</f>
        <v>0</v>
      </c>
    </row>
  </sheetData>
  <autoFilter ref="A3:V53" xr:uid="{00000000-0009-0000-0000-000007000000}"/>
  <conditionalFormatting sqref="A4:V93">
    <cfRule type="expression" dxfId="8" priority="2">
      <formula>$Q4="erledigt"</formula>
    </cfRule>
  </conditionalFormatting>
  <conditionalFormatting sqref="O4:O93">
    <cfRule type="expression" dxfId="7" priority="4">
      <formula>O4&lt;&gt;""</formula>
    </cfRule>
  </conditionalFormatting>
  <pageMargins left="0.75" right="0.75" top="1" bottom="1" header="0.511811023622047" footer="0.511811023622047"/>
  <pageSetup paperSize="9" orientation="portrait" horizontalDpi="300" verticalDpi="300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E-0000-0700-000003000000}">
            <xm:f>AND($Q4&lt;&gt;"erledigt",$A4&lt;&gt;"",$M4&lt;Parameter!$B$2)</xm:f>
            <x14:dxf>
              <fill>
                <patternFill>
                  <bgColor rgb="FFFFC7CE"/>
                </patternFill>
              </fill>
            </x14:dxf>
          </x14:cfRule>
          <xm:sqref>A4:V93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5"/>
  <sheetViews>
    <sheetView tabSelected="1" zoomScaleNormal="100" workbookViewId="0">
      <selection activeCell="K5" sqref="K5"/>
    </sheetView>
  </sheetViews>
  <sheetFormatPr defaultColWidth="8.6640625" defaultRowHeight="14.4" x14ac:dyDescent="0.3"/>
  <cols>
    <col min="1" max="1" width="20" customWidth="1"/>
    <col min="2" max="9" width="9" customWidth="1"/>
  </cols>
  <sheetData>
    <row r="1" spans="1:9" ht="17.25" customHeight="1" x14ac:dyDescent="0.3">
      <c r="A1" s="13" t="s">
        <v>361</v>
      </c>
      <c r="E1" s="3" t="s">
        <v>362</v>
      </c>
    </row>
    <row r="3" spans="1:9" ht="15" customHeight="1" x14ac:dyDescent="0.3">
      <c r="A3" s="19" t="s">
        <v>363</v>
      </c>
      <c r="B3" s="26">
        <v>39</v>
      </c>
      <c r="C3" s="26">
        <v>40</v>
      </c>
      <c r="D3" s="26">
        <v>41</v>
      </c>
      <c r="E3" s="26">
        <v>42</v>
      </c>
      <c r="F3" s="26">
        <v>43</v>
      </c>
      <c r="G3" s="26">
        <v>44</v>
      </c>
      <c r="H3" s="26">
        <v>45</v>
      </c>
      <c r="I3" s="26">
        <v>46</v>
      </c>
    </row>
    <row r="4" spans="1:9" ht="15" customHeight="1" x14ac:dyDescent="0.3">
      <c r="A4" s="10" t="s">
        <v>23</v>
      </c>
      <c r="B4" s="21">
        <f>SUMIFS(Aufträge!$L$4:$L$500,Aufträge!$I$4:$I$500,$A4,Aufträge!$P$4:$P$500,B$3,Aufträge!$Q$4:$Q$500,"&lt;&gt;erledigt")</f>
        <v>40</v>
      </c>
      <c r="C4" s="21">
        <f>SUMIFS(Aufträge!$L$4:$L$500,Aufträge!$I$4:$I$500,$A4,Aufträge!$P$4:$P$500,C$3,Aufträge!$Q$4:$Q$500,"&lt;&gt;erledigt")</f>
        <v>19.666666666666668</v>
      </c>
      <c r="D4" s="21">
        <f>SUMIFS(Aufträge!$L$4:$L$500,Aufträge!$I$4:$I$500,$A4,Aufträge!$P$4:$P$500,D$3,Aufträge!$Q$4:$Q$500,"&lt;&gt;erledigt")</f>
        <v>44</v>
      </c>
      <c r="E4" s="21">
        <f>SUMIFS(Aufträge!$L$4:$L$500,Aufträge!$I$4:$I$500,$A4,Aufträge!$P$4:$P$500,E$3,Aufträge!$Q$4:$Q$500,"&lt;&gt;erledigt")</f>
        <v>53.5</v>
      </c>
      <c r="F4" s="21">
        <f>SUMIFS(Aufträge!$L$4:$L$500,Aufträge!$I$4:$I$500,$A4,Aufträge!$P$4:$P$500,F$3,Aufträge!$Q$4:$Q$500,"&lt;&gt;erledigt")</f>
        <v>20.166666666666668</v>
      </c>
      <c r="G4" s="21">
        <f>SUMIFS(Aufträge!$L$4:$L$500,Aufträge!$I$4:$I$500,$A4,Aufträge!$P$4:$P$500,G$3,Aufträge!$Q$4:$Q$500,"&lt;&gt;erledigt")</f>
        <v>10</v>
      </c>
      <c r="H4" s="21">
        <f>SUMIFS(Aufträge!$L$4:$L$500,Aufträge!$I$4:$I$500,$A4,Aufträge!$P$4:$P$500,H$3,Aufträge!$Q$4:$Q$500,"&lt;&gt;erledigt")</f>
        <v>37.5</v>
      </c>
      <c r="I4" s="21">
        <f>SUMIFS(Aufträge!$L$4:$L$500,Aufträge!$I$4:$I$500,$A4,Aufträge!$P$4:$P$500,I$3,Aufträge!$Q$4:$Q$500,"&lt;&gt;erledigt")</f>
        <v>38.666666666666671</v>
      </c>
    </row>
    <row r="5" spans="1:9" ht="15" customHeight="1" x14ac:dyDescent="0.3">
      <c r="A5" s="10" t="s">
        <v>25</v>
      </c>
      <c r="B5" s="21">
        <f>SUMIFS(Aufträge!$L$4:$L$500,Aufträge!$I$4:$I$500,$A5,Aufträge!$P$4:$P$500,B$3,Aufträge!$Q$4:$Q$500,"&lt;&gt;erledigt")</f>
        <v>25.5</v>
      </c>
      <c r="C5" s="21">
        <f>SUMIFS(Aufträge!$L$4:$L$500,Aufträge!$I$4:$I$500,$A5,Aufträge!$P$4:$P$500,C$3,Aufträge!$Q$4:$Q$500,"&lt;&gt;erledigt")</f>
        <v>47.916666666666671</v>
      </c>
      <c r="D5" s="21">
        <f>SUMIFS(Aufträge!$L$4:$L$500,Aufträge!$I$4:$I$500,$A5,Aufträge!$P$4:$P$500,D$3,Aufträge!$Q$4:$Q$500,"&lt;&gt;erledigt")</f>
        <v>40.5</v>
      </c>
      <c r="E5" s="21">
        <f>SUMIFS(Aufträge!$L$4:$L$500,Aufträge!$I$4:$I$500,$A5,Aufträge!$P$4:$P$500,E$3,Aufträge!$Q$4:$Q$500,"&lt;&gt;erledigt")</f>
        <v>33.166666666666664</v>
      </c>
      <c r="F5" s="21">
        <f>SUMIFS(Aufträge!$L$4:$L$500,Aufträge!$I$4:$I$500,$A5,Aufträge!$P$4:$P$500,F$3,Aufträge!$Q$4:$Q$500,"&lt;&gt;erledigt")</f>
        <v>58.416666666666664</v>
      </c>
      <c r="G5" s="21">
        <f>SUMIFS(Aufträge!$L$4:$L$500,Aufträge!$I$4:$I$500,$A5,Aufträge!$P$4:$P$500,G$3,Aufträge!$Q$4:$Q$500,"&lt;&gt;erledigt")</f>
        <v>13.833333333333334</v>
      </c>
      <c r="H5" s="21">
        <f>SUMIFS(Aufträge!$L$4:$L$500,Aufträge!$I$4:$I$500,$A5,Aufträge!$P$4:$P$500,H$3,Aufträge!$Q$4:$Q$500,"&lt;&gt;erledigt")</f>
        <v>53.833333333333336</v>
      </c>
      <c r="I5" s="21">
        <f>SUMIFS(Aufträge!$L$4:$L$500,Aufträge!$I$4:$I$500,$A5,Aufträge!$P$4:$P$500,I$3,Aufträge!$Q$4:$Q$500,"&lt;&gt;erledigt")</f>
        <v>37.833333333333336</v>
      </c>
    </row>
    <row r="6" spans="1:9" ht="15" customHeight="1" x14ac:dyDescent="0.3">
      <c r="A6" s="10" t="s">
        <v>27</v>
      </c>
      <c r="B6" s="21">
        <f>SUMIFS(Aufträge!$L$4:$L$500,Aufträge!$I$4:$I$500,$A6,Aufträge!$P$4:$P$500,B$3,Aufträge!$Q$4:$Q$500,"&lt;&gt;erledigt")</f>
        <v>47.833333333333329</v>
      </c>
      <c r="C6" s="21">
        <f>SUMIFS(Aufträge!$L$4:$L$500,Aufträge!$I$4:$I$500,$A6,Aufträge!$P$4:$P$500,C$3,Aufträge!$Q$4:$Q$500,"&lt;&gt;erledigt")</f>
        <v>42.833333333333336</v>
      </c>
      <c r="D6" s="21">
        <f>SUMIFS(Aufträge!$L$4:$L$500,Aufträge!$I$4:$I$500,$A6,Aufträge!$P$4:$P$500,D$3,Aufträge!$Q$4:$Q$500,"&lt;&gt;erledigt")</f>
        <v>28.5</v>
      </c>
      <c r="E6" s="21">
        <f>SUMIFS(Aufträge!$L$4:$L$500,Aufträge!$I$4:$I$500,$A6,Aufträge!$P$4:$P$500,E$3,Aufträge!$Q$4:$Q$500,"&lt;&gt;erledigt")</f>
        <v>27.5</v>
      </c>
      <c r="F6" s="21">
        <f>SUMIFS(Aufträge!$L$4:$L$500,Aufträge!$I$4:$I$500,$A6,Aufträge!$P$4:$P$500,F$3,Aufträge!$Q$4:$Q$500,"&lt;&gt;erledigt")</f>
        <v>37.5</v>
      </c>
      <c r="G6" s="21">
        <f>SUMIFS(Aufträge!$L$4:$L$500,Aufträge!$I$4:$I$500,$A6,Aufträge!$P$4:$P$500,G$3,Aufträge!$Q$4:$Q$500,"&lt;&gt;erledigt")</f>
        <v>19.333333333333332</v>
      </c>
      <c r="H6" s="21">
        <f>SUMIFS(Aufträge!$L$4:$L$500,Aufträge!$I$4:$I$500,$A6,Aufträge!$P$4:$P$500,H$3,Aufträge!$Q$4:$Q$500,"&lt;&gt;erledigt")</f>
        <v>20.833333333333332</v>
      </c>
      <c r="I6" s="21">
        <f>SUMIFS(Aufträge!$L$4:$L$500,Aufträge!$I$4:$I$500,$A6,Aufträge!$P$4:$P$500,I$3,Aufträge!$Q$4:$Q$500,"&lt;&gt;erledigt")</f>
        <v>20.833333333333332</v>
      </c>
    </row>
    <row r="7" spans="1:9" ht="15" customHeight="1" x14ac:dyDescent="0.3">
      <c r="A7" s="10" t="s">
        <v>29</v>
      </c>
      <c r="B7" s="21">
        <f>SUMIFS(Aufträge!$L$4:$L$500,Aufträge!$I$4:$I$500,$A7,Aufträge!$P$4:$P$500,B$3,Aufträge!$Q$4:$Q$500,"&lt;&gt;erledigt")</f>
        <v>21.016666666666666</v>
      </c>
      <c r="C7" s="21">
        <f>SUMIFS(Aufträge!$L$4:$L$500,Aufträge!$I$4:$I$500,$A7,Aufträge!$P$4:$P$500,C$3,Aufträge!$Q$4:$Q$500,"&lt;&gt;erledigt")</f>
        <v>24.3</v>
      </c>
      <c r="D7" s="21">
        <f>SUMIFS(Aufträge!$L$4:$L$500,Aufträge!$I$4:$I$500,$A7,Aufträge!$P$4:$P$500,D$3,Aufträge!$Q$4:$Q$500,"&lt;&gt;erledigt")</f>
        <v>14.5</v>
      </c>
      <c r="E7" s="21">
        <f>SUMIFS(Aufträge!$L$4:$L$500,Aufträge!$I$4:$I$500,$A7,Aufträge!$P$4:$P$500,E$3,Aufträge!$Q$4:$Q$500,"&lt;&gt;erledigt")</f>
        <v>49.716666666666669</v>
      </c>
      <c r="F7" s="21">
        <f>SUMIFS(Aufträge!$L$4:$L$500,Aufträge!$I$4:$I$500,$A7,Aufträge!$P$4:$P$500,F$3,Aufträge!$Q$4:$Q$500,"&lt;&gt;erledigt")</f>
        <v>46.166666666666664</v>
      </c>
      <c r="G7" s="21">
        <f>SUMIFS(Aufträge!$L$4:$L$500,Aufträge!$I$4:$I$500,$A7,Aufträge!$P$4:$P$500,G$3,Aufträge!$Q$4:$Q$500,"&lt;&gt;erledigt")</f>
        <v>45.666666666666664</v>
      </c>
      <c r="H7" s="21">
        <f>SUMIFS(Aufträge!$L$4:$L$500,Aufträge!$I$4:$I$500,$A7,Aufträge!$P$4:$P$500,H$3,Aufträge!$Q$4:$Q$500,"&lt;&gt;erledigt")</f>
        <v>10.333333333333334</v>
      </c>
      <c r="I7" s="21">
        <f>SUMIFS(Aufträge!$L$4:$L$500,Aufträge!$I$4:$I$500,$A7,Aufträge!$P$4:$P$500,I$3,Aufträge!$Q$4:$Q$500,"&lt;&gt;erledigt")</f>
        <v>52.25</v>
      </c>
    </row>
    <row r="10" spans="1:9" ht="15" customHeight="1" x14ac:dyDescent="0.3">
      <c r="A10" s="19" t="s">
        <v>364</v>
      </c>
      <c r="B10" s="26">
        <v>39</v>
      </c>
      <c r="C10" s="26">
        <v>40</v>
      </c>
      <c r="D10" s="26">
        <v>41</v>
      </c>
      <c r="E10" s="26">
        <v>42</v>
      </c>
      <c r="F10" s="26">
        <v>43</v>
      </c>
      <c r="G10" s="26">
        <v>44</v>
      </c>
      <c r="H10" s="26">
        <v>45</v>
      </c>
      <c r="I10" s="26">
        <v>46</v>
      </c>
    </row>
    <row r="11" spans="1:9" ht="15" customHeight="1" x14ac:dyDescent="0.3">
      <c r="A11" s="10" t="s">
        <v>23</v>
      </c>
      <c r="B11" s="21">
        <f>IF(B$10=Kapazität!$H2,Kapazität!$G2-Parameter!$B$16,Kapazität!$G2)</f>
        <v>68</v>
      </c>
      <c r="C11" s="21">
        <f>IF(C$10=Kapazität!$H2,Kapazität!$G2-Parameter!$B$16,Kapazität!$G2)</f>
        <v>68</v>
      </c>
      <c r="D11" s="21">
        <f>IF(D$10=Kapazität!$H2,Kapazität!$G2-Parameter!$B$16,Kapazität!$G2)</f>
        <v>52</v>
      </c>
      <c r="E11" s="21">
        <f>IF(E$10=Kapazität!$H2,Kapazität!$G2-Parameter!$B$16,Kapazität!$G2)</f>
        <v>68</v>
      </c>
      <c r="F11" s="21">
        <f>IF(F$10=Kapazität!$H2,Kapazität!$G2-Parameter!$B$16,Kapazität!$G2)</f>
        <v>68</v>
      </c>
      <c r="G11" s="21">
        <f>IF(G$10=Kapazität!$H2,Kapazität!$G2-Parameter!$B$16,Kapazität!$G2)</f>
        <v>68</v>
      </c>
      <c r="H11" s="21">
        <f>IF(H$10=Kapazität!$H2,Kapazität!$G2-Parameter!$B$16,Kapazität!$G2)</f>
        <v>68</v>
      </c>
      <c r="I11" s="21">
        <f>IF(I$10=Kapazität!$H2,Kapazität!$G2-Parameter!$B$16,Kapazität!$G2)</f>
        <v>68</v>
      </c>
    </row>
    <row r="12" spans="1:9" ht="15" customHeight="1" x14ac:dyDescent="0.3">
      <c r="A12" s="10" t="s">
        <v>25</v>
      </c>
      <c r="B12" s="21">
        <f>IF(B$10=Kapazität!$H3,Kapazität!$G3-Parameter!$B$16,Kapazität!$G3)</f>
        <v>68</v>
      </c>
      <c r="C12" s="21">
        <f>IF(C$10=Kapazität!$H3,Kapazität!$G3-Parameter!$B$16,Kapazität!$G3)</f>
        <v>68</v>
      </c>
      <c r="D12" s="21">
        <f>IF(D$10=Kapazität!$H3,Kapazität!$G3-Parameter!$B$16,Kapazität!$G3)</f>
        <v>68</v>
      </c>
      <c r="E12" s="21">
        <f>IF(E$10=Kapazität!$H3,Kapazität!$G3-Parameter!$B$16,Kapazität!$G3)</f>
        <v>68</v>
      </c>
      <c r="F12" s="21">
        <f>IF(F$10=Kapazität!$H3,Kapazität!$G3-Parameter!$B$16,Kapazität!$G3)</f>
        <v>68</v>
      </c>
      <c r="G12" s="21">
        <f>IF(G$10=Kapazität!$H3,Kapazität!$G3-Parameter!$B$16,Kapazität!$G3)</f>
        <v>52</v>
      </c>
      <c r="H12" s="21">
        <f>IF(H$10=Kapazität!$H3,Kapazität!$G3-Parameter!$B$16,Kapazität!$G3)</f>
        <v>68</v>
      </c>
      <c r="I12" s="21">
        <f>IF(I$10=Kapazität!$H3,Kapazität!$G3-Parameter!$B$16,Kapazität!$G3)</f>
        <v>68</v>
      </c>
    </row>
    <row r="13" spans="1:9" ht="15" customHeight="1" x14ac:dyDescent="0.3">
      <c r="A13" s="10" t="s">
        <v>27</v>
      </c>
      <c r="B13" s="21">
        <f>IF(B$10=Kapazität!$H4,Kapazität!$G4-Parameter!$B$16,Kapazität!$G4)</f>
        <v>64</v>
      </c>
      <c r="C13" s="21">
        <f>IF(C$10=Kapazität!$H4,Kapazität!$G4-Parameter!$B$16,Kapazität!$G4)</f>
        <v>64</v>
      </c>
      <c r="D13" s="21">
        <f>IF(D$10=Kapazität!$H4,Kapazität!$G4-Parameter!$B$16,Kapazität!$G4)</f>
        <v>64</v>
      </c>
      <c r="E13" s="21">
        <f>IF(E$10=Kapazität!$H4,Kapazität!$G4-Parameter!$B$16,Kapazität!$G4)</f>
        <v>64</v>
      </c>
      <c r="F13" s="21">
        <f>IF(F$10=Kapazität!$H4,Kapazität!$G4-Parameter!$B$16,Kapazität!$G4)</f>
        <v>64</v>
      </c>
      <c r="G13" s="21">
        <f>IF(G$10=Kapazität!$H4,Kapazität!$G4-Parameter!$B$16,Kapazität!$G4)</f>
        <v>64</v>
      </c>
      <c r="H13" s="21">
        <f>IF(H$10=Kapazität!$H4,Kapazität!$G4-Parameter!$B$16,Kapazität!$G4)</f>
        <v>64</v>
      </c>
      <c r="I13" s="21">
        <f>IF(I$10=Kapazität!$H4,Kapazität!$G4-Parameter!$B$16,Kapazität!$G4)</f>
        <v>64</v>
      </c>
    </row>
    <row r="14" spans="1:9" ht="15" customHeight="1" x14ac:dyDescent="0.3">
      <c r="A14" s="10" t="s">
        <v>29</v>
      </c>
      <c r="B14" s="21">
        <f>IF(B$10=Kapazität!$H5,Kapazität!$G5-Parameter!$B$16,Kapazität!$G5)</f>
        <v>72</v>
      </c>
      <c r="C14" s="21">
        <f>IF(C$10=Kapazität!$H5,Kapazität!$G5-Parameter!$B$16,Kapazität!$G5)</f>
        <v>72</v>
      </c>
      <c r="D14" s="21">
        <f>IF(D$10=Kapazität!$H5,Kapazität!$G5-Parameter!$B$16,Kapazität!$G5)</f>
        <v>72</v>
      </c>
      <c r="E14" s="21">
        <f>IF(E$10=Kapazität!$H5,Kapazität!$G5-Parameter!$B$16,Kapazität!$G5)</f>
        <v>72</v>
      </c>
      <c r="F14" s="21">
        <f>IF(F$10=Kapazität!$H5,Kapazität!$G5-Parameter!$B$16,Kapazität!$G5)</f>
        <v>56</v>
      </c>
      <c r="G14" s="21">
        <f>IF(G$10=Kapazität!$H5,Kapazität!$G5-Parameter!$B$16,Kapazität!$G5)</f>
        <v>72</v>
      </c>
      <c r="H14" s="21">
        <f>IF(H$10=Kapazität!$H5,Kapazität!$G5-Parameter!$B$16,Kapazität!$G5)</f>
        <v>72</v>
      </c>
      <c r="I14" s="21">
        <f>IF(I$10=Kapazität!$H5,Kapazität!$G5-Parameter!$B$16,Kapazität!$G5)</f>
        <v>72</v>
      </c>
    </row>
    <row r="17" spans="1:9" ht="15" customHeight="1" x14ac:dyDescent="0.3">
      <c r="A17" s="19" t="s">
        <v>365</v>
      </c>
      <c r="B17" s="26">
        <v>39</v>
      </c>
      <c r="C17" s="26">
        <v>40</v>
      </c>
      <c r="D17" s="26">
        <v>41</v>
      </c>
      <c r="E17" s="26">
        <v>42</v>
      </c>
      <c r="F17" s="26">
        <v>43</v>
      </c>
      <c r="G17" s="26">
        <v>44</v>
      </c>
      <c r="H17" s="26">
        <v>45</v>
      </c>
      <c r="I17" s="26">
        <v>46</v>
      </c>
    </row>
    <row r="18" spans="1:9" ht="15" customHeight="1" x14ac:dyDescent="0.3">
      <c r="A18" s="10" t="s">
        <v>23</v>
      </c>
      <c r="B18" s="23">
        <f t="shared" ref="B18:I21" si="0">IF(B11=0,0,B4/B11)</f>
        <v>0.58823529411764708</v>
      </c>
      <c r="C18" s="23">
        <f t="shared" si="0"/>
        <v>0.28921568627450983</v>
      </c>
      <c r="D18" s="23">
        <f t="shared" si="0"/>
        <v>0.84615384615384615</v>
      </c>
      <c r="E18" s="23">
        <f t="shared" si="0"/>
        <v>0.78676470588235292</v>
      </c>
      <c r="F18" s="23">
        <f t="shared" si="0"/>
        <v>0.29656862745098039</v>
      </c>
      <c r="G18" s="23">
        <f t="shared" si="0"/>
        <v>0.14705882352941177</v>
      </c>
      <c r="H18" s="23">
        <f t="shared" si="0"/>
        <v>0.55147058823529416</v>
      </c>
      <c r="I18" s="23">
        <f t="shared" si="0"/>
        <v>0.56862745098039225</v>
      </c>
    </row>
    <row r="19" spans="1:9" ht="15" customHeight="1" x14ac:dyDescent="0.3">
      <c r="A19" s="10" t="s">
        <v>25</v>
      </c>
      <c r="B19" s="23">
        <f t="shared" si="0"/>
        <v>0.375</v>
      </c>
      <c r="C19" s="23">
        <f t="shared" si="0"/>
        <v>0.70465686274509809</v>
      </c>
      <c r="D19" s="23">
        <f t="shared" si="0"/>
        <v>0.59558823529411764</v>
      </c>
      <c r="E19" s="23">
        <f t="shared" si="0"/>
        <v>0.48774509803921567</v>
      </c>
      <c r="F19" s="23">
        <f t="shared" si="0"/>
        <v>0.85906862745098034</v>
      </c>
      <c r="G19" s="23">
        <f t="shared" si="0"/>
        <v>0.26602564102564102</v>
      </c>
      <c r="H19" s="23">
        <f t="shared" si="0"/>
        <v>0.79166666666666674</v>
      </c>
      <c r="I19" s="23">
        <f t="shared" si="0"/>
        <v>0.55637254901960786</v>
      </c>
    </row>
    <row r="20" spans="1:9" ht="15" customHeight="1" x14ac:dyDescent="0.3">
      <c r="A20" s="10" t="s">
        <v>27</v>
      </c>
      <c r="B20" s="23">
        <f t="shared" si="0"/>
        <v>0.74739583333333326</v>
      </c>
      <c r="C20" s="23">
        <f t="shared" si="0"/>
        <v>0.66927083333333337</v>
      </c>
      <c r="D20" s="23">
        <f t="shared" si="0"/>
        <v>0.4453125</v>
      </c>
      <c r="E20" s="23">
        <f t="shared" si="0"/>
        <v>0.4296875</v>
      </c>
      <c r="F20" s="23">
        <f t="shared" si="0"/>
        <v>0.5859375</v>
      </c>
      <c r="G20" s="23">
        <f t="shared" si="0"/>
        <v>0.30208333333333331</v>
      </c>
      <c r="H20" s="23">
        <f t="shared" si="0"/>
        <v>0.32552083333333331</v>
      </c>
      <c r="I20" s="23">
        <f t="shared" si="0"/>
        <v>0.32552083333333331</v>
      </c>
    </row>
    <row r="21" spans="1:9" ht="15" customHeight="1" x14ac:dyDescent="0.3">
      <c r="A21" s="10" t="s">
        <v>29</v>
      </c>
      <c r="B21" s="23">
        <f t="shared" si="0"/>
        <v>0.29189814814814813</v>
      </c>
      <c r="C21" s="23">
        <f t="shared" si="0"/>
        <v>0.33750000000000002</v>
      </c>
      <c r="D21" s="23">
        <f t="shared" si="0"/>
        <v>0.2013888888888889</v>
      </c>
      <c r="E21" s="23">
        <f t="shared" si="0"/>
        <v>0.69050925925925932</v>
      </c>
      <c r="F21" s="23">
        <f t="shared" si="0"/>
        <v>0.82440476190476186</v>
      </c>
      <c r="G21" s="23">
        <f t="shared" si="0"/>
        <v>0.63425925925925919</v>
      </c>
      <c r="H21" s="23">
        <f t="shared" si="0"/>
        <v>0.14351851851851852</v>
      </c>
      <c r="I21" s="23">
        <f t="shared" si="0"/>
        <v>0.72569444444444442</v>
      </c>
    </row>
    <row r="24" spans="1:9" ht="15" customHeight="1" x14ac:dyDescent="0.3">
      <c r="A24" s="10" t="s">
        <v>366</v>
      </c>
      <c r="B24" s="24">
        <f>COUNTIFS(Aufträge!$Q$4:$Q$500,"&lt;&gt;erledigt",Aufträge!$A$4:$A$500,"&lt;&gt;",Aufträge!$P$4:$P$500,"&gt;="&amp;B3,Aufträge!$P$4:$P$500,"&lt;="&amp;I3)</f>
        <v>45</v>
      </c>
    </row>
    <row r="25" spans="1:9" ht="15" customHeight="1" x14ac:dyDescent="0.3">
      <c r="A25" s="10" t="s">
        <v>367</v>
      </c>
      <c r="B25" s="24">
        <f>COUNTIFS(Aufträge!$Q$4:$Q$500,"&lt;&gt;erledigt",Aufträge!$A$4:$A$500,"&lt;&gt;")-B24</f>
        <v>2</v>
      </c>
    </row>
  </sheetData>
  <conditionalFormatting sqref="B18:I21">
    <cfRule type="cellIs" dxfId="5" priority="4" operator="lessThan">
      <formula>0.4</formula>
    </cfRule>
  </conditionalFormatting>
  <pageMargins left="0.75" right="0.75" top="1" bottom="1" header="0.511811023622047" footer="0.511811023622047"/>
  <pageSetup paperSize="9" orientation="portrait" horizontalDpi="300" verticalDpi="300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00000000-000E-0000-0800-000002000000}">
            <xm:f>Parameter!$B$6</xm:f>
            <x14:dxf>
              <font>
                <b/>
                <sz val="10"/>
                <color rgb="FF9C0006"/>
                <name val="Arial"/>
                <charset val="1"/>
              </font>
              <fill>
                <patternFill>
                  <bgColor rgb="FFFFC7CE"/>
                </patternFill>
              </fill>
            </x14:dxf>
          </x14:cfRule>
          <x14:cfRule type="cellIs" priority="3" operator="between" id="{00000000-000E-0000-0800-000003000000}">
            <xm:f>0.75</xm:f>
            <xm:f>Parameter!$B$6</xm:f>
            <x14:dxf>
              <fill>
                <patternFill>
                  <bgColor rgb="FFFFEB9C"/>
                </patternFill>
              </fill>
            </x14:dxf>
          </x14:cfRule>
          <xm:sqref>B18:I21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I20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/>
    </sheetView>
  </sheetViews>
  <sheetFormatPr defaultColWidth="8.6640625" defaultRowHeight="14.4" x14ac:dyDescent="0.3"/>
  <cols>
    <col min="1" max="1" width="9" customWidth="1"/>
    <col min="2" max="2" width="36" customWidth="1"/>
    <col min="3" max="3" width="8" customWidth="1"/>
    <col min="4" max="11" width="7" customWidth="1"/>
    <col min="12" max="12" width="9" customWidth="1"/>
    <col min="13" max="13" width="7" customWidth="1"/>
    <col min="14" max="15" width="9" customWidth="1"/>
    <col min="16" max="16" width="8" customWidth="1"/>
    <col min="17" max="17" width="9" customWidth="1"/>
    <col min="18" max="25" width="7" hidden="1" customWidth="1"/>
    <col min="26" max="26" width="8" customWidth="1"/>
    <col min="27" max="27" width="9" customWidth="1"/>
    <col min="28" max="28" width="8" customWidth="1"/>
    <col min="29" max="30" width="9" customWidth="1"/>
    <col min="31" max="31" width="8" customWidth="1"/>
    <col min="32" max="32" width="10" customWidth="1"/>
    <col min="33" max="33" width="9" customWidth="1"/>
    <col min="34" max="35" width="11" customWidth="1"/>
  </cols>
  <sheetData>
    <row r="1" spans="1:35" ht="17.25" customHeight="1" x14ac:dyDescent="0.3">
      <c r="A1" s="13" t="s">
        <v>368</v>
      </c>
      <c r="D1" s="3" t="s">
        <v>369</v>
      </c>
    </row>
    <row r="3" spans="1:35" ht="23.25" customHeight="1" x14ac:dyDescent="0.3">
      <c r="A3" s="19" t="s">
        <v>94</v>
      </c>
      <c r="B3" s="19" t="s">
        <v>95</v>
      </c>
      <c r="C3" s="19" t="s">
        <v>96</v>
      </c>
      <c r="D3" s="27">
        <v>39</v>
      </c>
      <c r="E3" s="27">
        <v>40</v>
      </c>
      <c r="F3" s="27">
        <v>41</v>
      </c>
      <c r="G3" s="27">
        <v>42</v>
      </c>
      <c r="H3" s="27">
        <v>43</v>
      </c>
      <c r="I3" s="27">
        <v>44</v>
      </c>
      <c r="J3" s="27">
        <v>45</v>
      </c>
      <c r="K3" s="27">
        <v>46</v>
      </c>
      <c r="L3" s="19" t="s">
        <v>370</v>
      </c>
      <c r="M3" s="19" t="s">
        <v>98</v>
      </c>
      <c r="N3" s="19" t="s">
        <v>99</v>
      </c>
      <c r="O3" s="19" t="s">
        <v>371</v>
      </c>
      <c r="P3" s="19" t="s">
        <v>372</v>
      </c>
      <c r="Q3" s="19" t="s">
        <v>373</v>
      </c>
      <c r="R3" s="28" t="s">
        <v>374</v>
      </c>
      <c r="S3" s="28" t="s">
        <v>375</v>
      </c>
      <c r="T3" s="28" t="s">
        <v>376</v>
      </c>
      <c r="U3" s="28" t="s">
        <v>377</v>
      </c>
      <c r="V3" s="28" t="s">
        <v>378</v>
      </c>
      <c r="W3" s="28" t="s">
        <v>379</v>
      </c>
      <c r="X3" s="28" t="s">
        <v>380</v>
      </c>
      <c r="Y3" s="28" t="s">
        <v>381</v>
      </c>
      <c r="Z3" s="19" t="s">
        <v>382</v>
      </c>
      <c r="AA3" s="19" t="s">
        <v>97</v>
      </c>
      <c r="AB3" s="19" t="s">
        <v>383</v>
      </c>
      <c r="AC3" s="19" t="s">
        <v>64</v>
      </c>
      <c r="AD3" s="19" t="s">
        <v>384</v>
      </c>
      <c r="AE3" s="19" t="s">
        <v>100</v>
      </c>
      <c r="AF3" s="19" t="s">
        <v>385</v>
      </c>
      <c r="AG3" s="19" t="s">
        <v>386</v>
      </c>
      <c r="AH3" s="19" t="s">
        <v>387</v>
      </c>
      <c r="AI3" s="19" t="s">
        <v>388</v>
      </c>
    </row>
    <row r="4" spans="1:35" ht="15" customHeight="1" x14ac:dyDescent="0.3">
      <c r="A4" s="10" t="str">
        <f>Rohmaterial!A2</f>
        <v>RM-101</v>
      </c>
      <c r="B4" s="1" t="str">
        <f>Rohmaterial!B2</f>
        <v>Rundstahl 1.4301 Ø20 x 6000</v>
      </c>
      <c r="C4" s="1" t="str">
        <f>Rohmaterial!C2</f>
        <v>Stange</v>
      </c>
      <c r="D4" s="21">
        <f>SUMIFS(Aufträge!$T$4:$T$500,Aufträge!$S$4:$S$500,$A4,Aufträge!$P$4:$P$500,D$3,Aufträge!$Q$4:$Q$500,"&lt;&gt;erledigt")+SUMIFS(Aufträge!$V$4:$V$500,Aufträge!$U$4:$U$500,$A4,Aufträge!$P$4:$P$500,D$3,Aufträge!$Q$4:$Q$500,"&lt;&gt;erledigt")</f>
        <v>13.299999999999999</v>
      </c>
      <c r="E4" s="21">
        <f>SUMIFS(Aufträge!$T$4:$T$500,Aufträge!$S$4:$S$500,$A4,Aufträge!$P$4:$P$500,E$3,Aufträge!$Q$4:$Q$500,"&lt;&gt;erledigt")+SUMIFS(Aufträge!$V$4:$V$500,Aufträge!$U$4:$U$500,$A4,Aufträge!$P$4:$P$500,E$3,Aufträge!$Q$4:$Q$500,"&lt;&gt;erledigt")</f>
        <v>0</v>
      </c>
      <c r="F4" s="21">
        <f>SUMIFS(Aufträge!$T$4:$T$500,Aufträge!$S$4:$S$500,$A4,Aufträge!$P$4:$P$500,F$3,Aufträge!$Q$4:$Q$500,"&lt;&gt;erledigt")+SUMIFS(Aufträge!$V$4:$V$500,Aufträge!$U$4:$U$500,$A4,Aufträge!$P$4:$P$500,F$3,Aufträge!$Q$4:$Q$500,"&lt;&gt;erledigt")</f>
        <v>0</v>
      </c>
      <c r="G4" s="21">
        <f>SUMIFS(Aufträge!$T$4:$T$500,Aufträge!$S$4:$S$500,$A4,Aufträge!$P$4:$P$500,G$3,Aufträge!$Q$4:$Q$500,"&lt;&gt;erledigt")+SUMIFS(Aufträge!$V$4:$V$500,Aufträge!$U$4:$U$500,$A4,Aufträge!$P$4:$P$500,G$3,Aufträge!$Q$4:$Q$500,"&lt;&gt;erledigt")</f>
        <v>18.899999999999999</v>
      </c>
      <c r="H4" s="21">
        <f>SUMIFS(Aufträge!$T$4:$T$500,Aufträge!$S$4:$S$500,$A4,Aufträge!$P$4:$P$500,H$3,Aufträge!$Q$4:$Q$500,"&lt;&gt;erledigt")+SUMIFS(Aufträge!$V$4:$V$500,Aufträge!$U$4:$U$500,$A4,Aufträge!$P$4:$P$500,H$3,Aufträge!$Q$4:$Q$500,"&lt;&gt;erledigt")</f>
        <v>0</v>
      </c>
      <c r="I4" s="21">
        <f>SUMIFS(Aufträge!$T$4:$T$500,Aufträge!$S$4:$S$500,$A4,Aufträge!$P$4:$P$500,I$3,Aufträge!$Q$4:$Q$500,"&lt;&gt;erledigt")+SUMIFS(Aufträge!$V$4:$V$500,Aufträge!$U$4:$U$500,$A4,Aufträge!$P$4:$P$500,I$3,Aufträge!$Q$4:$Q$500,"&lt;&gt;erledigt")</f>
        <v>0</v>
      </c>
      <c r="J4" s="21">
        <f>SUMIFS(Aufträge!$T$4:$T$500,Aufträge!$S$4:$S$500,$A4,Aufträge!$P$4:$P$500,J$3,Aufträge!$Q$4:$Q$500,"&lt;&gt;erledigt")+SUMIFS(Aufträge!$V$4:$V$500,Aufträge!$U$4:$U$500,$A4,Aufträge!$P$4:$P$500,J$3,Aufträge!$Q$4:$Q$500,"&lt;&gt;erledigt")</f>
        <v>0</v>
      </c>
      <c r="K4" s="21">
        <f>SUMIFS(Aufträge!$T$4:$T$500,Aufträge!$S$4:$S$500,$A4,Aufträge!$P$4:$P$500,K$3,Aufträge!$Q$4:$Q$500,"&lt;&gt;erledigt")+SUMIFS(Aufträge!$V$4:$V$500,Aufträge!$U$4:$U$500,$A4,Aufträge!$P$4:$P$500,K$3,Aufträge!$Q$4:$Q$500,"&lt;&gt;erledigt")</f>
        <v>0</v>
      </c>
      <c r="L4" s="21">
        <f t="shared" ref="L4:L18" si="0">SUM(D4:K4)</f>
        <v>32.199999999999996</v>
      </c>
      <c r="M4" s="24">
        <f>Rohmaterial!E2</f>
        <v>24</v>
      </c>
      <c r="N4" s="24">
        <f>Rohmaterial!F2</f>
        <v>0</v>
      </c>
      <c r="O4" s="24">
        <f t="shared" ref="O4:O18" si="1">M4+N4</f>
        <v>24</v>
      </c>
      <c r="P4" s="21">
        <f t="shared" ref="P4:P18" si="2">L4/8</f>
        <v>4.0249999999999995</v>
      </c>
      <c r="Q4" s="24">
        <f>MAX(ROUNDUP(P4*Parameter!$B$5,0),AE4)</f>
        <v>10</v>
      </c>
      <c r="R4" s="21">
        <f t="shared" ref="R4:R18" si="3">D4</f>
        <v>13.299999999999999</v>
      </c>
      <c r="S4" s="21">
        <f t="shared" ref="S4:S18" si="4">R4+E4</f>
        <v>13.299999999999999</v>
      </c>
      <c r="T4" s="21">
        <f t="shared" ref="T4:T18" si="5">S4+F4</f>
        <v>13.299999999999999</v>
      </c>
      <c r="U4" s="21">
        <f t="shared" ref="U4:U18" si="6">T4+G4</f>
        <v>32.199999999999996</v>
      </c>
      <c r="V4" s="21">
        <f t="shared" ref="V4:V18" si="7">U4+H4</f>
        <v>32.199999999999996</v>
      </c>
      <c r="W4" s="21">
        <f t="shared" ref="W4:W18" si="8">V4+I4</f>
        <v>32.199999999999996</v>
      </c>
      <c r="X4" s="21">
        <f t="shared" ref="X4:X18" si="9">W4+J4</f>
        <v>32.199999999999996</v>
      </c>
      <c r="Y4" s="21">
        <f t="shared" ref="Y4:Y18" si="10">X4+K4</f>
        <v>32.199999999999996</v>
      </c>
      <c r="Z4" s="24">
        <f t="shared" ref="Z4:Z18" si="11">IF(R4+$Q4&gt;$O4,D$3,IF(S4+$Q4&gt;$O4,E$3,IF(T4+$Q4&gt;$O4,F$3,IF(U4+$Q4&gt;$O4,G$3,IF(V4+$Q4&gt;$O4,H$3,IF(W4+$Q4&gt;$O4,I$3,IF(X4+$Q4&gt;$O4,J$3,IF(Y4+$Q4&gt;$O4,K$3,""))))))))</f>
        <v>42</v>
      </c>
      <c r="AA4" s="1" t="str">
        <f>Rohmaterial!D2</f>
        <v>L-01</v>
      </c>
      <c r="AB4" s="24">
        <f>VLOOKUP(AA4,Lieferanten!$A$2:$H$20,4,0)</f>
        <v>2</v>
      </c>
      <c r="AC4" s="1" t="str">
        <f>VLOOKUP(AA4,Lieferanten!$A$2:$H$20,5,0)</f>
        <v>A</v>
      </c>
      <c r="AD4" s="24">
        <f>IF(Z4="","",Z4-AB4-IF(AC4="C",Parameter!$B$11,0))</f>
        <v>40</v>
      </c>
      <c r="AE4" s="24">
        <f>Rohmaterial!G2</f>
        <v>10</v>
      </c>
      <c r="AF4" s="24">
        <f t="shared" ref="AF4:AF18" si="12">IF(Z4="",0,ROUNDUP(MAX(0,L4+Q4-O4)/AE4,0)*AE4)</f>
        <v>20</v>
      </c>
      <c r="AG4" s="1" t="str">
        <f>IF(AD4="","N",IF(AD4&lt;=Parameter!$B$2,"J","N"))</f>
        <v>N</v>
      </c>
      <c r="AH4" s="20">
        <f>AF4*Rohmaterial!H2</f>
        <v>1360</v>
      </c>
      <c r="AI4" s="29">
        <f>IF(Z4="","",Parameter!$B$4+(Z4-Parameter!$B$2)*7)</f>
        <v>46307</v>
      </c>
    </row>
    <row r="5" spans="1:35" ht="15" customHeight="1" x14ac:dyDescent="0.3">
      <c r="A5" s="10" t="str">
        <f>Rohmaterial!A3</f>
        <v>RM-102</v>
      </c>
      <c r="B5" s="1" t="str">
        <f>Rohmaterial!B3</f>
        <v>Rundstahl 1.4301 Ø40 x 6000</v>
      </c>
      <c r="C5" s="1" t="str">
        <f>Rohmaterial!C3</f>
        <v>Stange</v>
      </c>
      <c r="D5" s="21">
        <f>SUMIFS(Aufträge!$T$4:$T$500,Aufträge!$S$4:$S$500,$A5,Aufträge!$P$4:$P$500,D$3,Aufträge!$Q$4:$Q$500,"&lt;&gt;erledigt")+SUMIFS(Aufträge!$V$4:$V$500,Aufträge!$U$4:$U$500,$A5,Aufträge!$P$4:$P$500,D$3,Aufträge!$Q$4:$Q$500,"&lt;&gt;erledigt")</f>
        <v>5.3</v>
      </c>
      <c r="E5" s="21">
        <f>SUMIFS(Aufträge!$T$4:$T$500,Aufträge!$S$4:$S$500,$A5,Aufträge!$P$4:$P$500,E$3,Aufträge!$Q$4:$Q$500,"&lt;&gt;erledigt")+SUMIFS(Aufträge!$V$4:$V$500,Aufträge!$U$4:$U$500,$A5,Aufträge!$P$4:$P$500,E$3,Aufträge!$Q$4:$Q$500,"&lt;&gt;erledigt")</f>
        <v>0</v>
      </c>
      <c r="F5" s="21">
        <f>SUMIFS(Aufträge!$T$4:$T$500,Aufträge!$S$4:$S$500,$A5,Aufträge!$P$4:$P$500,F$3,Aufträge!$Q$4:$Q$500,"&lt;&gt;erledigt")+SUMIFS(Aufträge!$V$4:$V$500,Aufträge!$U$4:$U$500,$A5,Aufträge!$P$4:$P$500,F$3,Aufträge!$Q$4:$Q$500,"&lt;&gt;erledigt")</f>
        <v>0</v>
      </c>
      <c r="G5" s="21">
        <f>SUMIFS(Aufträge!$T$4:$T$500,Aufträge!$S$4:$S$500,$A5,Aufträge!$P$4:$P$500,G$3,Aufträge!$Q$4:$Q$500,"&lt;&gt;erledigt")+SUMIFS(Aufträge!$V$4:$V$500,Aufträge!$U$4:$U$500,$A5,Aufträge!$P$4:$P$500,G$3,Aufträge!$Q$4:$Q$500,"&lt;&gt;erledigt")</f>
        <v>0</v>
      </c>
      <c r="H5" s="21">
        <f>SUMIFS(Aufträge!$T$4:$T$500,Aufträge!$S$4:$S$500,$A5,Aufträge!$P$4:$P$500,H$3,Aufträge!$Q$4:$Q$500,"&lt;&gt;erledigt")+SUMIFS(Aufträge!$V$4:$V$500,Aufträge!$U$4:$U$500,$A5,Aufträge!$P$4:$P$500,H$3,Aufträge!$Q$4:$Q$500,"&lt;&gt;erledigt")</f>
        <v>0</v>
      </c>
      <c r="I5" s="21">
        <f>SUMIFS(Aufträge!$T$4:$T$500,Aufträge!$S$4:$S$500,$A5,Aufträge!$P$4:$P$500,I$3,Aufträge!$Q$4:$Q$500,"&lt;&gt;erledigt")+SUMIFS(Aufträge!$V$4:$V$500,Aufträge!$U$4:$U$500,$A5,Aufträge!$P$4:$P$500,I$3,Aufträge!$Q$4:$Q$500,"&lt;&gt;erledigt")</f>
        <v>4</v>
      </c>
      <c r="J5" s="21">
        <f>SUMIFS(Aufträge!$T$4:$T$500,Aufträge!$S$4:$S$500,$A5,Aufträge!$P$4:$P$500,J$3,Aufträge!$Q$4:$Q$500,"&lt;&gt;erledigt")+SUMIFS(Aufträge!$V$4:$V$500,Aufträge!$U$4:$U$500,$A5,Aufträge!$P$4:$P$500,J$3,Aufträge!$Q$4:$Q$500,"&lt;&gt;erledigt")</f>
        <v>0</v>
      </c>
      <c r="K5" s="21">
        <f>SUMIFS(Aufträge!$T$4:$T$500,Aufträge!$S$4:$S$500,$A5,Aufträge!$P$4:$P$500,K$3,Aufträge!$Q$4:$Q$500,"&lt;&gt;erledigt")+SUMIFS(Aufträge!$V$4:$V$500,Aufträge!$U$4:$U$500,$A5,Aufträge!$P$4:$P$500,K$3,Aufträge!$Q$4:$Q$500,"&lt;&gt;erledigt")</f>
        <v>0</v>
      </c>
      <c r="L5" s="21">
        <f t="shared" si="0"/>
        <v>9.3000000000000007</v>
      </c>
      <c r="M5" s="24">
        <f>Rohmaterial!E3</f>
        <v>6</v>
      </c>
      <c r="N5" s="24">
        <f>Rohmaterial!F3</f>
        <v>5</v>
      </c>
      <c r="O5" s="24">
        <f t="shared" si="1"/>
        <v>11</v>
      </c>
      <c r="P5" s="21">
        <f t="shared" si="2"/>
        <v>1.1625000000000001</v>
      </c>
      <c r="Q5" s="24">
        <f>MAX(ROUNDUP(P5*Parameter!$B$5,0),AE5)</f>
        <v>5</v>
      </c>
      <c r="R5" s="21">
        <f t="shared" si="3"/>
        <v>5.3</v>
      </c>
      <c r="S5" s="21">
        <f t="shared" si="4"/>
        <v>5.3</v>
      </c>
      <c r="T5" s="21">
        <f t="shared" si="5"/>
        <v>5.3</v>
      </c>
      <c r="U5" s="21">
        <f t="shared" si="6"/>
        <v>5.3</v>
      </c>
      <c r="V5" s="21">
        <f t="shared" si="7"/>
        <v>5.3</v>
      </c>
      <c r="W5" s="21">
        <f t="shared" si="8"/>
        <v>9.3000000000000007</v>
      </c>
      <c r="X5" s="21">
        <f t="shared" si="9"/>
        <v>9.3000000000000007</v>
      </c>
      <c r="Y5" s="21">
        <f t="shared" si="10"/>
        <v>9.3000000000000007</v>
      </c>
      <c r="Z5" s="24">
        <f t="shared" si="11"/>
        <v>44</v>
      </c>
      <c r="AA5" s="1" t="str">
        <f>Rohmaterial!D3</f>
        <v>L-01</v>
      </c>
      <c r="AB5" s="24">
        <f>VLOOKUP(AA5,Lieferanten!$A$2:$H$20,4,0)</f>
        <v>2</v>
      </c>
      <c r="AC5" s="1" t="str">
        <f>VLOOKUP(AA5,Lieferanten!$A$2:$H$20,5,0)</f>
        <v>A</v>
      </c>
      <c r="AD5" s="24">
        <f>IF(Z5="","",Z5-AB5-IF(AC5="C",Parameter!$B$11,0))</f>
        <v>42</v>
      </c>
      <c r="AE5" s="24">
        <f>Rohmaterial!G3</f>
        <v>5</v>
      </c>
      <c r="AF5" s="24">
        <f t="shared" si="12"/>
        <v>5</v>
      </c>
      <c r="AG5" s="1" t="str">
        <f>IF(AD5="","N",IF(AD5&lt;=Parameter!$B$2,"J","N"))</f>
        <v>N</v>
      </c>
      <c r="AH5" s="20">
        <f>AF5*Rohmaterial!H3</f>
        <v>1325</v>
      </c>
      <c r="AI5" s="29">
        <f>IF(Z5="","",Parameter!$B$4+(Z5-Parameter!$B$2)*7)</f>
        <v>46321</v>
      </c>
    </row>
    <row r="6" spans="1:35" ht="15" customHeight="1" x14ac:dyDescent="0.3">
      <c r="A6" s="10" t="str">
        <f>Rohmaterial!A4</f>
        <v>RM-103</v>
      </c>
      <c r="B6" s="1" t="str">
        <f>Rohmaterial!B4</f>
        <v>Rundstahl S235JR Ø30 x 6000</v>
      </c>
      <c r="C6" s="1" t="str">
        <f>Rohmaterial!C4</f>
        <v>Stange</v>
      </c>
      <c r="D6" s="21">
        <f>SUMIFS(Aufträge!$T$4:$T$500,Aufträge!$S$4:$S$500,$A6,Aufträge!$P$4:$P$500,D$3,Aufträge!$Q$4:$Q$500,"&lt;&gt;erledigt")+SUMIFS(Aufträge!$V$4:$V$500,Aufträge!$U$4:$U$500,$A6,Aufträge!$P$4:$P$500,D$3,Aufträge!$Q$4:$Q$500,"&lt;&gt;erledigt")</f>
        <v>12.1</v>
      </c>
      <c r="E6" s="21">
        <f>SUMIFS(Aufträge!$T$4:$T$500,Aufträge!$S$4:$S$500,$A6,Aufträge!$P$4:$P$500,E$3,Aufträge!$Q$4:$Q$500,"&lt;&gt;erledigt")+SUMIFS(Aufträge!$V$4:$V$500,Aufträge!$U$4:$U$500,$A6,Aufträge!$P$4:$P$500,E$3,Aufträge!$Q$4:$Q$500,"&lt;&gt;erledigt")</f>
        <v>0</v>
      </c>
      <c r="F6" s="21">
        <f>SUMIFS(Aufträge!$T$4:$T$500,Aufträge!$S$4:$S$500,$A6,Aufträge!$P$4:$P$500,F$3,Aufträge!$Q$4:$Q$500,"&lt;&gt;erledigt")+SUMIFS(Aufträge!$V$4:$V$500,Aufträge!$U$4:$U$500,$A6,Aufträge!$P$4:$P$500,F$3,Aufträge!$Q$4:$Q$500,"&lt;&gt;erledigt")</f>
        <v>0</v>
      </c>
      <c r="G6" s="21">
        <f>SUMIFS(Aufträge!$T$4:$T$500,Aufträge!$S$4:$S$500,$A6,Aufträge!$P$4:$P$500,G$3,Aufträge!$Q$4:$Q$500,"&lt;&gt;erledigt")+SUMIFS(Aufträge!$V$4:$V$500,Aufträge!$U$4:$U$500,$A6,Aufträge!$P$4:$P$500,G$3,Aufträge!$Q$4:$Q$500,"&lt;&gt;erledigt")</f>
        <v>16.200000000000003</v>
      </c>
      <c r="H6" s="21">
        <f>SUMIFS(Aufträge!$T$4:$T$500,Aufträge!$S$4:$S$500,$A6,Aufträge!$P$4:$P$500,H$3,Aufträge!$Q$4:$Q$500,"&lt;&gt;erledigt")+SUMIFS(Aufträge!$V$4:$V$500,Aufträge!$U$4:$U$500,$A6,Aufträge!$P$4:$P$500,H$3,Aufträge!$Q$4:$Q$500,"&lt;&gt;erledigt")</f>
        <v>9.6999999999999993</v>
      </c>
      <c r="I6" s="21">
        <f>SUMIFS(Aufträge!$T$4:$T$500,Aufträge!$S$4:$S$500,$A6,Aufträge!$P$4:$P$500,I$3,Aufträge!$Q$4:$Q$500,"&lt;&gt;erledigt")+SUMIFS(Aufträge!$V$4:$V$500,Aufträge!$U$4:$U$500,$A6,Aufträge!$P$4:$P$500,I$3,Aufträge!$Q$4:$Q$500,"&lt;&gt;erledigt")</f>
        <v>0</v>
      </c>
      <c r="J6" s="21">
        <f>SUMIFS(Aufträge!$T$4:$T$500,Aufträge!$S$4:$S$500,$A6,Aufträge!$P$4:$P$500,J$3,Aufträge!$Q$4:$Q$500,"&lt;&gt;erledigt")+SUMIFS(Aufträge!$V$4:$V$500,Aufträge!$U$4:$U$500,$A6,Aufträge!$P$4:$P$500,J$3,Aufträge!$Q$4:$Q$500,"&lt;&gt;erledigt")</f>
        <v>0</v>
      </c>
      <c r="K6" s="21">
        <f>SUMIFS(Aufträge!$T$4:$T$500,Aufträge!$S$4:$S$500,$A6,Aufträge!$P$4:$P$500,K$3,Aufträge!$Q$4:$Q$500,"&lt;&gt;erledigt")+SUMIFS(Aufträge!$V$4:$V$500,Aufträge!$U$4:$U$500,$A6,Aufträge!$P$4:$P$500,K$3,Aufträge!$Q$4:$Q$500,"&lt;&gt;erledigt")</f>
        <v>18.5</v>
      </c>
      <c r="L6" s="21">
        <f t="shared" si="0"/>
        <v>56.5</v>
      </c>
      <c r="M6" s="24">
        <f>Rohmaterial!E4</f>
        <v>31</v>
      </c>
      <c r="N6" s="24">
        <f>Rohmaterial!F4</f>
        <v>0</v>
      </c>
      <c r="O6" s="24">
        <f t="shared" si="1"/>
        <v>31</v>
      </c>
      <c r="P6" s="21">
        <f t="shared" si="2"/>
        <v>7.0625</v>
      </c>
      <c r="Q6" s="24">
        <f>MAX(ROUNDUP(P6*Parameter!$B$5,0),AE6)</f>
        <v>10</v>
      </c>
      <c r="R6" s="21">
        <f t="shared" si="3"/>
        <v>12.1</v>
      </c>
      <c r="S6" s="21">
        <f t="shared" si="4"/>
        <v>12.1</v>
      </c>
      <c r="T6" s="21">
        <f t="shared" si="5"/>
        <v>12.1</v>
      </c>
      <c r="U6" s="21">
        <f t="shared" si="6"/>
        <v>28.300000000000004</v>
      </c>
      <c r="V6" s="21">
        <f t="shared" si="7"/>
        <v>38</v>
      </c>
      <c r="W6" s="21">
        <f t="shared" si="8"/>
        <v>38</v>
      </c>
      <c r="X6" s="21">
        <f t="shared" si="9"/>
        <v>38</v>
      </c>
      <c r="Y6" s="21">
        <f t="shared" si="10"/>
        <v>56.5</v>
      </c>
      <c r="Z6" s="24">
        <f t="shared" si="11"/>
        <v>42</v>
      </c>
      <c r="AA6" s="1" t="str">
        <f>Rohmaterial!D4</f>
        <v>L-02</v>
      </c>
      <c r="AB6" s="24">
        <f>VLOOKUP(AA6,Lieferanten!$A$2:$H$20,4,0)</f>
        <v>1</v>
      </c>
      <c r="AC6" s="1" t="str">
        <f>VLOOKUP(AA6,Lieferanten!$A$2:$H$20,5,0)</f>
        <v>A</v>
      </c>
      <c r="AD6" s="24">
        <f>IF(Z6="","",Z6-AB6-IF(AC6="C",Parameter!$B$11,0))</f>
        <v>41</v>
      </c>
      <c r="AE6" s="24">
        <f>Rohmaterial!G4</f>
        <v>10</v>
      </c>
      <c r="AF6" s="24">
        <f t="shared" si="12"/>
        <v>40</v>
      </c>
      <c r="AG6" s="1" t="str">
        <f>IF(AD6="","N",IF(AD6&lt;=Parameter!$B$2,"J","N"))</f>
        <v>N</v>
      </c>
      <c r="AH6" s="20">
        <f>AF6*Rohmaterial!H4</f>
        <v>1680</v>
      </c>
      <c r="AI6" s="29">
        <f>IF(Z6="","",Parameter!$B$4+(Z6-Parameter!$B$2)*7)</f>
        <v>46307</v>
      </c>
    </row>
    <row r="7" spans="1:35" ht="15" customHeight="1" x14ac:dyDescent="0.3">
      <c r="A7" s="10" t="str">
        <f>Rohmaterial!A5</f>
        <v>RM-104</v>
      </c>
      <c r="B7" s="1" t="str">
        <f>Rohmaterial!B5</f>
        <v>Rundstahl S235JR Ø60 x 6000</v>
      </c>
      <c r="C7" s="1" t="str">
        <f>Rohmaterial!C5</f>
        <v>Stange</v>
      </c>
      <c r="D7" s="21">
        <f>SUMIFS(Aufträge!$T$4:$T$500,Aufträge!$S$4:$S$500,$A7,Aufträge!$P$4:$P$500,D$3,Aufträge!$Q$4:$Q$500,"&lt;&gt;erledigt")+SUMIFS(Aufträge!$V$4:$V$500,Aufträge!$U$4:$U$500,$A7,Aufträge!$P$4:$P$500,D$3,Aufträge!$Q$4:$Q$500,"&lt;&gt;erledigt")</f>
        <v>0</v>
      </c>
      <c r="E7" s="21">
        <f>SUMIFS(Aufträge!$T$4:$T$500,Aufträge!$S$4:$S$500,$A7,Aufträge!$P$4:$P$500,E$3,Aufträge!$Q$4:$Q$500,"&lt;&gt;erledigt")+SUMIFS(Aufträge!$V$4:$V$500,Aufträge!$U$4:$U$500,$A7,Aufträge!$P$4:$P$500,E$3,Aufträge!$Q$4:$Q$500,"&lt;&gt;erledigt")</f>
        <v>6.6999999999999993</v>
      </c>
      <c r="F7" s="21">
        <f>SUMIFS(Aufträge!$T$4:$T$500,Aufträge!$S$4:$S$500,$A7,Aufträge!$P$4:$P$500,F$3,Aufträge!$Q$4:$Q$500,"&lt;&gt;erledigt")+SUMIFS(Aufträge!$V$4:$V$500,Aufträge!$U$4:$U$500,$A7,Aufträge!$P$4:$P$500,F$3,Aufträge!$Q$4:$Q$500,"&lt;&gt;erledigt")</f>
        <v>0</v>
      </c>
      <c r="G7" s="21">
        <f>SUMIFS(Aufträge!$T$4:$T$500,Aufträge!$S$4:$S$500,$A7,Aufträge!$P$4:$P$500,G$3,Aufträge!$Q$4:$Q$500,"&lt;&gt;erledigt")+SUMIFS(Aufträge!$V$4:$V$500,Aufträge!$U$4:$U$500,$A7,Aufträge!$P$4:$P$500,G$3,Aufträge!$Q$4:$Q$500,"&lt;&gt;erledigt")</f>
        <v>0</v>
      </c>
      <c r="H7" s="21">
        <f>SUMIFS(Aufträge!$T$4:$T$500,Aufträge!$S$4:$S$500,$A7,Aufträge!$P$4:$P$500,H$3,Aufträge!$Q$4:$Q$500,"&lt;&gt;erledigt")+SUMIFS(Aufträge!$V$4:$V$500,Aufträge!$U$4:$U$500,$A7,Aufträge!$P$4:$P$500,H$3,Aufträge!$Q$4:$Q$500,"&lt;&gt;erledigt")</f>
        <v>0</v>
      </c>
      <c r="I7" s="21">
        <f>SUMIFS(Aufträge!$T$4:$T$500,Aufträge!$S$4:$S$500,$A7,Aufträge!$P$4:$P$500,I$3,Aufträge!$Q$4:$Q$500,"&lt;&gt;erledigt")+SUMIFS(Aufträge!$V$4:$V$500,Aufträge!$U$4:$U$500,$A7,Aufträge!$P$4:$P$500,I$3,Aufträge!$Q$4:$Q$500,"&lt;&gt;erledigt")</f>
        <v>5.1999999999999993</v>
      </c>
      <c r="J7" s="21">
        <f>SUMIFS(Aufträge!$T$4:$T$500,Aufträge!$S$4:$S$500,$A7,Aufträge!$P$4:$P$500,J$3,Aufträge!$Q$4:$Q$500,"&lt;&gt;erledigt")+SUMIFS(Aufträge!$V$4:$V$500,Aufträge!$U$4:$U$500,$A7,Aufträge!$P$4:$P$500,J$3,Aufträge!$Q$4:$Q$500,"&lt;&gt;erledigt")</f>
        <v>0</v>
      </c>
      <c r="K7" s="21">
        <f>SUMIFS(Aufträge!$T$4:$T$500,Aufträge!$S$4:$S$500,$A7,Aufträge!$P$4:$P$500,K$3,Aufträge!$Q$4:$Q$500,"&lt;&gt;erledigt")+SUMIFS(Aufträge!$V$4:$V$500,Aufträge!$U$4:$U$500,$A7,Aufträge!$P$4:$P$500,K$3,Aufträge!$Q$4:$Q$500,"&lt;&gt;erledigt")</f>
        <v>0</v>
      </c>
      <c r="L7" s="21">
        <f t="shared" si="0"/>
        <v>11.899999999999999</v>
      </c>
      <c r="M7" s="24">
        <f>Rohmaterial!E5</f>
        <v>12</v>
      </c>
      <c r="N7" s="24">
        <f>Rohmaterial!F5</f>
        <v>0</v>
      </c>
      <c r="O7" s="24">
        <f t="shared" si="1"/>
        <v>12</v>
      </c>
      <c r="P7" s="21">
        <f t="shared" si="2"/>
        <v>1.4874999999999998</v>
      </c>
      <c r="Q7" s="24">
        <f>MAX(ROUNDUP(P7*Parameter!$B$5,0),AE7)</f>
        <v>5</v>
      </c>
      <c r="R7" s="21">
        <f t="shared" si="3"/>
        <v>0</v>
      </c>
      <c r="S7" s="21">
        <f t="shared" si="4"/>
        <v>6.6999999999999993</v>
      </c>
      <c r="T7" s="21">
        <f t="shared" si="5"/>
        <v>6.6999999999999993</v>
      </c>
      <c r="U7" s="21">
        <f t="shared" si="6"/>
        <v>6.6999999999999993</v>
      </c>
      <c r="V7" s="21">
        <f t="shared" si="7"/>
        <v>6.6999999999999993</v>
      </c>
      <c r="W7" s="21">
        <f t="shared" si="8"/>
        <v>11.899999999999999</v>
      </c>
      <c r="X7" s="21">
        <f t="shared" si="9"/>
        <v>11.899999999999999</v>
      </c>
      <c r="Y7" s="21">
        <f t="shared" si="10"/>
        <v>11.899999999999999</v>
      </c>
      <c r="Z7" s="24">
        <f t="shared" si="11"/>
        <v>44</v>
      </c>
      <c r="AA7" s="1" t="str">
        <f>Rohmaterial!D5</f>
        <v>L-02</v>
      </c>
      <c r="AB7" s="24">
        <f>VLOOKUP(AA7,Lieferanten!$A$2:$H$20,4,0)</f>
        <v>1</v>
      </c>
      <c r="AC7" s="1" t="str">
        <f>VLOOKUP(AA7,Lieferanten!$A$2:$H$20,5,0)</f>
        <v>A</v>
      </c>
      <c r="AD7" s="24">
        <f>IF(Z7="","",Z7-AB7-IF(AC7="C",Parameter!$B$11,0))</f>
        <v>43</v>
      </c>
      <c r="AE7" s="24">
        <f>Rohmaterial!G5</f>
        <v>5</v>
      </c>
      <c r="AF7" s="24">
        <f t="shared" si="12"/>
        <v>5</v>
      </c>
      <c r="AG7" s="1" t="str">
        <f>IF(AD7="","N",IF(AD7&lt;=Parameter!$B$2,"J","N"))</f>
        <v>N</v>
      </c>
      <c r="AH7" s="20">
        <f>AF7*Rohmaterial!H5</f>
        <v>840</v>
      </c>
      <c r="AI7" s="29">
        <f>IF(Z7="","",Parameter!$B$4+(Z7-Parameter!$B$2)*7)</f>
        <v>46321</v>
      </c>
    </row>
    <row r="8" spans="1:35" ht="15" customHeight="1" x14ac:dyDescent="0.3">
      <c r="A8" s="10" t="str">
        <f>Rohmaterial!A6</f>
        <v>RM-105</v>
      </c>
      <c r="B8" s="1" t="str">
        <f>Rohmaterial!B6</f>
        <v>Alu EN AW-6082 Rund Ø50 x 3000</v>
      </c>
      <c r="C8" s="1" t="str">
        <f>Rohmaterial!C6</f>
        <v>Stange</v>
      </c>
      <c r="D8" s="21">
        <f>SUMIFS(Aufträge!$T$4:$T$500,Aufträge!$S$4:$S$500,$A8,Aufträge!$P$4:$P$500,D$3,Aufträge!$Q$4:$Q$500,"&lt;&gt;erledigt")+SUMIFS(Aufträge!$V$4:$V$500,Aufträge!$U$4:$U$500,$A8,Aufträge!$P$4:$P$500,D$3,Aufträge!$Q$4:$Q$500,"&lt;&gt;erledigt")</f>
        <v>0</v>
      </c>
      <c r="E8" s="21">
        <f>SUMIFS(Aufträge!$T$4:$T$500,Aufträge!$S$4:$S$500,$A8,Aufträge!$P$4:$P$500,E$3,Aufträge!$Q$4:$Q$500,"&lt;&gt;erledigt")+SUMIFS(Aufträge!$V$4:$V$500,Aufträge!$U$4:$U$500,$A8,Aufträge!$P$4:$P$500,E$3,Aufträge!$Q$4:$Q$500,"&lt;&gt;erledigt")</f>
        <v>0</v>
      </c>
      <c r="F8" s="21">
        <f>SUMIFS(Aufträge!$T$4:$T$500,Aufträge!$S$4:$S$500,$A8,Aufträge!$P$4:$P$500,F$3,Aufträge!$Q$4:$Q$500,"&lt;&gt;erledigt")+SUMIFS(Aufträge!$V$4:$V$500,Aufträge!$U$4:$U$500,$A8,Aufträge!$P$4:$P$500,F$3,Aufträge!$Q$4:$Q$500,"&lt;&gt;erledigt")</f>
        <v>9.6</v>
      </c>
      <c r="G8" s="21">
        <f>SUMIFS(Aufträge!$T$4:$T$500,Aufträge!$S$4:$S$500,$A8,Aufträge!$P$4:$P$500,G$3,Aufträge!$Q$4:$Q$500,"&lt;&gt;erledigt")+SUMIFS(Aufträge!$V$4:$V$500,Aufträge!$U$4:$U$500,$A8,Aufträge!$P$4:$P$500,G$3,Aufträge!$Q$4:$Q$500,"&lt;&gt;erledigt")</f>
        <v>0</v>
      </c>
      <c r="H8" s="21">
        <f>SUMIFS(Aufträge!$T$4:$T$500,Aufträge!$S$4:$S$500,$A8,Aufträge!$P$4:$P$500,H$3,Aufträge!$Q$4:$Q$500,"&lt;&gt;erledigt")+SUMIFS(Aufträge!$V$4:$V$500,Aufträge!$U$4:$U$500,$A8,Aufträge!$P$4:$P$500,H$3,Aufträge!$Q$4:$Q$500,"&lt;&gt;erledigt")</f>
        <v>0</v>
      </c>
      <c r="I8" s="21">
        <f>SUMIFS(Aufträge!$T$4:$T$500,Aufträge!$S$4:$S$500,$A8,Aufträge!$P$4:$P$500,I$3,Aufträge!$Q$4:$Q$500,"&lt;&gt;erledigt")+SUMIFS(Aufträge!$V$4:$V$500,Aufträge!$U$4:$U$500,$A8,Aufträge!$P$4:$P$500,I$3,Aufträge!$Q$4:$Q$500,"&lt;&gt;erledigt")</f>
        <v>0</v>
      </c>
      <c r="J8" s="21">
        <f>SUMIFS(Aufträge!$T$4:$T$500,Aufträge!$S$4:$S$500,$A8,Aufträge!$P$4:$P$500,J$3,Aufträge!$Q$4:$Q$500,"&lt;&gt;erledigt")+SUMIFS(Aufträge!$V$4:$V$500,Aufträge!$U$4:$U$500,$A8,Aufträge!$P$4:$P$500,J$3,Aufträge!$Q$4:$Q$500,"&lt;&gt;erledigt")</f>
        <v>0</v>
      </c>
      <c r="K8" s="21">
        <f>SUMIFS(Aufträge!$T$4:$T$500,Aufträge!$S$4:$S$500,$A8,Aufträge!$P$4:$P$500,K$3,Aufträge!$Q$4:$Q$500,"&lt;&gt;erledigt")+SUMIFS(Aufträge!$V$4:$V$500,Aufträge!$U$4:$U$500,$A8,Aufträge!$P$4:$P$500,K$3,Aufträge!$Q$4:$Q$500,"&lt;&gt;erledigt")</f>
        <v>8.4</v>
      </c>
      <c r="L8" s="21">
        <f t="shared" si="0"/>
        <v>18</v>
      </c>
      <c r="M8" s="24">
        <f>Rohmaterial!E6</f>
        <v>14</v>
      </c>
      <c r="N8" s="24">
        <f>Rohmaterial!F6</f>
        <v>10</v>
      </c>
      <c r="O8" s="24">
        <f t="shared" si="1"/>
        <v>24</v>
      </c>
      <c r="P8" s="21">
        <f t="shared" si="2"/>
        <v>2.25</v>
      </c>
      <c r="Q8" s="24">
        <f>MAX(ROUNDUP(P8*Parameter!$B$5,0),AE8)</f>
        <v>10</v>
      </c>
      <c r="R8" s="21">
        <f t="shared" si="3"/>
        <v>0</v>
      </c>
      <c r="S8" s="21">
        <f t="shared" si="4"/>
        <v>0</v>
      </c>
      <c r="T8" s="21">
        <f t="shared" si="5"/>
        <v>9.6</v>
      </c>
      <c r="U8" s="21">
        <f t="shared" si="6"/>
        <v>9.6</v>
      </c>
      <c r="V8" s="21">
        <f t="shared" si="7"/>
        <v>9.6</v>
      </c>
      <c r="W8" s="21">
        <f t="shared" si="8"/>
        <v>9.6</v>
      </c>
      <c r="X8" s="21">
        <f t="shared" si="9"/>
        <v>9.6</v>
      </c>
      <c r="Y8" s="21">
        <f t="shared" si="10"/>
        <v>18</v>
      </c>
      <c r="Z8" s="24">
        <f t="shared" si="11"/>
        <v>46</v>
      </c>
      <c r="AA8" s="1" t="str">
        <f>Rohmaterial!D6</f>
        <v>L-03</v>
      </c>
      <c r="AB8" s="24">
        <f>VLOOKUP(AA8,Lieferanten!$A$2:$H$20,4,0)</f>
        <v>3</v>
      </c>
      <c r="AC8" s="1" t="str">
        <f>VLOOKUP(AA8,Lieferanten!$A$2:$H$20,5,0)</f>
        <v>B</v>
      </c>
      <c r="AD8" s="24">
        <f>IF(Z8="","",Z8-AB8-IF(AC8="C",Parameter!$B$11,0))</f>
        <v>43</v>
      </c>
      <c r="AE8" s="24">
        <f>Rohmaterial!G6</f>
        <v>10</v>
      </c>
      <c r="AF8" s="24">
        <f t="shared" si="12"/>
        <v>10</v>
      </c>
      <c r="AG8" s="1" t="str">
        <f>IF(AD8="","N",IF(AD8&lt;=Parameter!$B$2,"J","N"))</f>
        <v>N</v>
      </c>
      <c r="AH8" s="20">
        <f>AF8*Rohmaterial!H6</f>
        <v>960</v>
      </c>
      <c r="AI8" s="29">
        <f>IF(Z8="","",Parameter!$B$4+(Z8-Parameter!$B$2)*7)</f>
        <v>46335</v>
      </c>
    </row>
    <row r="9" spans="1:35" ht="15" customHeight="1" x14ac:dyDescent="0.3">
      <c r="A9" s="10" t="str">
        <f>Rohmaterial!A7</f>
        <v>RM-106</v>
      </c>
      <c r="B9" s="1" t="str">
        <f>Rohmaterial!B7</f>
        <v>Alu EN AW-6082 Rund Ø80 x 3000</v>
      </c>
      <c r="C9" s="1" t="str">
        <f>Rohmaterial!C7</f>
        <v>Stange</v>
      </c>
      <c r="D9" s="21">
        <f>SUMIFS(Aufträge!$T$4:$T$500,Aufträge!$S$4:$S$500,$A9,Aufträge!$P$4:$P$500,D$3,Aufträge!$Q$4:$Q$500,"&lt;&gt;erledigt")+SUMIFS(Aufträge!$V$4:$V$500,Aufträge!$U$4:$U$500,$A9,Aufträge!$P$4:$P$500,D$3,Aufträge!$Q$4:$Q$500,"&lt;&gt;erledigt")</f>
        <v>0</v>
      </c>
      <c r="E9" s="21">
        <f>SUMIFS(Aufträge!$T$4:$T$500,Aufträge!$S$4:$S$500,$A9,Aufträge!$P$4:$P$500,E$3,Aufträge!$Q$4:$Q$500,"&lt;&gt;erledigt")+SUMIFS(Aufträge!$V$4:$V$500,Aufträge!$U$4:$U$500,$A9,Aufträge!$P$4:$P$500,E$3,Aufträge!$Q$4:$Q$500,"&lt;&gt;erledigt")</f>
        <v>13.3</v>
      </c>
      <c r="F9" s="21">
        <f>SUMIFS(Aufträge!$T$4:$T$500,Aufträge!$S$4:$S$500,$A9,Aufträge!$P$4:$P$500,F$3,Aufträge!$Q$4:$Q$500,"&lt;&gt;erledigt")+SUMIFS(Aufträge!$V$4:$V$500,Aufträge!$U$4:$U$500,$A9,Aufträge!$P$4:$P$500,F$3,Aufträge!$Q$4:$Q$500,"&lt;&gt;erledigt")</f>
        <v>0</v>
      </c>
      <c r="G9" s="21">
        <f>SUMIFS(Aufträge!$T$4:$T$500,Aufträge!$S$4:$S$500,$A9,Aufträge!$P$4:$P$500,G$3,Aufträge!$Q$4:$Q$500,"&lt;&gt;erledigt")+SUMIFS(Aufträge!$V$4:$V$500,Aufträge!$U$4:$U$500,$A9,Aufträge!$P$4:$P$500,G$3,Aufträge!$Q$4:$Q$500,"&lt;&gt;erledigt")</f>
        <v>0</v>
      </c>
      <c r="H9" s="21">
        <f>SUMIFS(Aufträge!$T$4:$T$500,Aufträge!$S$4:$S$500,$A9,Aufträge!$P$4:$P$500,H$3,Aufträge!$Q$4:$Q$500,"&lt;&gt;erledigt")+SUMIFS(Aufträge!$V$4:$V$500,Aufträge!$U$4:$U$500,$A9,Aufträge!$P$4:$P$500,H$3,Aufträge!$Q$4:$Q$500,"&lt;&gt;erledigt")</f>
        <v>8.4</v>
      </c>
      <c r="I9" s="21">
        <f>SUMIFS(Aufträge!$T$4:$T$500,Aufträge!$S$4:$S$500,$A9,Aufträge!$P$4:$P$500,I$3,Aufträge!$Q$4:$Q$500,"&lt;&gt;erledigt")+SUMIFS(Aufträge!$V$4:$V$500,Aufträge!$U$4:$U$500,$A9,Aufträge!$P$4:$P$500,I$3,Aufträge!$Q$4:$Q$500,"&lt;&gt;erledigt")</f>
        <v>0</v>
      </c>
      <c r="J9" s="21">
        <f>SUMIFS(Aufträge!$T$4:$T$500,Aufträge!$S$4:$S$500,$A9,Aufträge!$P$4:$P$500,J$3,Aufträge!$Q$4:$Q$500,"&lt;&gt;erledigt")+SUMIFS(Aufträge!$V$4:$V$500,Aufträge!$U$4:$U$500,$A9,Aufträge!$P$4:$P$500,J$3,Aufträge!$Q$4:$Q$500,"&lt;&gt;erledigt")</f>
        <v>5.1999999999999993</v>
      </c>
      <c r="K9" s="21">
        <f>SUMIFS(Aufträge!$T$4:$T$500,Aufträge!$S$4:$S$500,$A9,Aufträge!$P$4:$P$500,K$3,Aufträge!$Q$4:$Q$500,"&lt;&gt;erledigt")+SUMIFS(Aufträge!$V$4:$V$500,Aufträge!$U$4:$U$500,$A9,Aufträge!$P$4:$P$500,K$3,Aufträge!$Q$4:$Q$500,"&lt;&gt;erledigt")</f>
        <v>4.5999999999999996</v>
      </c>
      <c r="L9" s="21">
        <f t="shared" si="0"/>
        <v>31.5</v>
      </c>
      <c r="M9" s="24">
        <f>Rohmaterial!E7</f>
        <v>5</v>
      </c>
      <c r="N9" s="24">
        <f>Rohmaterial!F7</f>
        <v>0</v>
      </c>
      <c r="O9" s="24">
        <f t="shared" si="1"/>
        <v>5</v>
      </c>
      <c r="P9" s="21">
        <f t="shared" si="2"/>
        <v>3.9375</v>
      </c>
      <c r="Q9" s="24">
        <f>MAX(ROUNDUP(P9*Parameter!$B$5,0),AE9)</f>
        <v>5</v>
      </c>
      <c r="R9" s="21">
        <f t="shared" si="3"/>
        <v>0</v>
      </c>
      <c r="S9" s="21">
        <f t="shared" si="4"/>
        <v>13.3</v>
      </c>
      <c r="T9" s="21">
        <f t="shared" si="5"/>
        <v>13.3</v>
      </c>
      <c r="U9" s="21">
        <f t="shared" si="6"/>
        <v>13.3</v>
      </c>
      <c r="V9" s="21">
        <f t="shared" si="7"/>
        <v>21.700000000000003</v>
      </c>
      <c r="W9" s="21">
        <f t="shared" si="8"/>
        <v>21.700000000000003</v>
      </c>
      <c r="X9" s="21">
        <f t="shared" si="9"/>
        <v>26.900000000000002</v>
      </c>
      <c r="Y9" s="21">
        <f t="shared" si="10"/>
        <v>31.5</v>
      </c>
      <c r="Z9" s="24">
        <f t="shared" si="11"/>
        <v>40</v>
      </c>
      <c r="AA9" s="1" t="str">
        <f>Rohmaterial!D7</f>
        <v>L-03</v>
      </c>
      <c r="AB9" s="24">
        <f>VLOOKUP(AA9,Lieferanten!$A$2:$H$20,4,0)</f>
        <v>3</v>
      </c>
      <c r="AC9" s="1" t="str">
        <f>VLOOKUP(AA9,Lieferanten!$A$2:$H$20,5,0)</f>
        <v>B</v>
      </c>
      <c r="AD9" s="24">
        <f>IF(Z9="","",Z9-AB9-IF(AC9="C",Parameter!$B$11,0))</f>
        <v>37</v>
      </c>
      <c r="AE9" s="24">
        <f>Rohmaterial!G7</f>
        <v>5</v>
      </c>
      <c r="AF9" s="24">
        <f t="shared" si="12"/>
        <v>35</v>
      </c>
      <c r="AG9" s="1" t="str">
        <f>IF(AD9="","N",IF(AD9&lt;=Parameter!$B$2,"J","N"))</f>
        <v>J</v>
      </c>
      <c r="AH9" s="20">
        <f>AF9*Rohmaterial!H7</f>
        <v>8575</v>
      </c>
      <c r="AI9" s="29">
        <f>IF(Z9="","",Parameter!$B$4+(Z9-Parameter!$B$2)*7)</f>
        <v>46293</v>
      </c>
    </row>
    <row r="10" spans="1:35" ht="15" customHeight="1" x14ac:dyDescent="0.3">
      <c r="A10" s="10" t="str">
        <f>Rohmaterial!A8</f>
        <v>RM-107</v>
      </c>
      <c r="B10" s="1" t="str">
        <f>Rohmaterial!B8</f>
        <v>Alu EN AW-6082 Platte 20x500x1000</v>
      </c>
      <c r="C10" s="1" t="str">
        <f>Rohmaterial!C8</f>
        <v>Platte</v>
      </c>
      <c r="D10" s="21">
        <f>SUMIFS(Aufträge!$T$4:$T$500,Aufträge!$S$4:$S$500,$A10,Aufträge!$P$4:$P$500,D$3,Aufträge!$Q$4:$Q$500,"&lt;&gt;erledigt")+SUMIFS(Aufträge!$V$4:$V$500,Aufträge!$U$4:$U$500,$A10,Aufträge!$P$4:$P$500,D$3,Aufträge!$Q$4:$Q$500,"&lt;&gt;erledigt")</f>
        <v>14.9</v>
      </c>
      <c r="E10" s="21">
        <f>SUMIFS(Aufträge!$T$4:$T$500,Aufträge!$S$4:$S$500,$A10,Aufträge!$P$4:$P$500,E$3,Aufträge!$Q$4:$Q$500,"&lt;&gt;erledigt")+SUMIFS(Aufträge!$V$4:$V$500,Aufträge!$U$4:$U$500,$A10,Aufträge!$P$4:$P$500,E$3,Aufträge!$Q$4:$Q$500,"&lt;&gt;erledigt")</f>
        <v>0</v>
      </c>
      <c r="F10" s="21">
        <f>SUMIFS(Aufträge!$T$4:$T$500,Aufträge!$S$4:$S$500,$A10,Aufträge!$P$4:$P$500,F$3,Aufträge!$Q$4:$Q$500,"&lt;&gt;erledigt")+SUMIFS(Aufträge!$V$4:$V$500,Aufträge!$U$4:$U$500,$A10,Aufträge!$P$4:$P$500,F$3,Aufträge!$Q$4:$Q$500,"&lt;&gt;erledigt")</f>
        <v>0</v>
      </c>
      <c r="G10" s="21">
        <f>SUMIFS(Aufträge!$T$4:$T$500,Aufträge!$S$4:$S$500,$A10,Aufträge!$P$4:$P$500,G$3,Aufträge!$Q$4:$Q$500,"&lt;&gt;erledigt")+SUMIFS(Aufträge!$V$4:$V$500,Aufträge!$U$4:$U$500,$A10,Aufträge!$P$4:$P$500,G$3,Aufträge!$Q$4:$Q$500,"&lt;&gt;erledigt")</f>
        <v>9.9</v>
      </c>
      <c r="H10" s="21">
        <f>SUMIFS(Aufträge!$T$4:$T$500,Aufträge!$S$4:$S$500,$A10,Aufträge!$P$4:$P$500,H$3,Aufträge!$Q$4:$Q$500,"&lt;&gt;erledigt")+SUMIFS(Aufträge!$V$4:$V$500,Aufträge!$U$4:$U$500,$A10,Aufträge!$P$4:$P$500,H$3,Aufträge!$Q$4:$Q$500,"&lt;&gt;erledigt")</f>
        <v>33</v>
      </c>
      <c r="I10" s="21">
        <f>SUMIFS(Aufträge!$T$4:$T$500,Aufträge!$S$4:$S$500,$A10,Aufträge!$P$4:$P$500,I$3,Aufträge!$Q$4:$Q$500,"&lt;&gt;erledigt")+SUMIFS(Aufträge!$V$4:$V$500,Aufträge!$U$4:$U$500,$A10,Aufträge!$P$4:$P$500,I$3,Aufträge!$Q$4:$Q$500,"&lt;&gt;erledigt")</f>
        <v>0</v>
      </c>
      <c r="J10" s="21">
        <f>SUMIFS(Aufträge!$T$4:$T$500,Aufträge!$S$4:$S$500,$A10,Aufträge!$P$4:$P$500,J$3,Aufträge!$Q$4:$Q$500,"&lt;&gt;erledigt")+SUMIFS(Aufträge!$V$4:$V$500,Aufträge!$U$4:$U$500,$A10,Aufträge!$P$4:$P$500,J$3,Aufträge!$Q$4:$Q$500,"&lt;&gt;erledigt")</f>
        <v>4.1999999999999993</v>
      </c>
      <c r="K10" s="21">
        <f>SUMIFS(Aufträge!$T$4:$T$500,Aufträge!$S$4:$S$500,$A10,Aufträge!$P$4:$P$500,K$3,Aufträge!$Q$4:$Q$500,"&lt;&gt;erledigt")+SUMIFS(Aufträge!$V$4:$V$500,Aufträge!$U$4:$U$500,$A10,Aufträge!$P$4:$P$500,K$3,Aufträge!$Q$4:$Q$500,"&lt;&gt;erledigt")</f>
        <v>11.600000000000001</v>
      </c>
      <c r="L10" s="21">
        <f t="shared" si="0"/>
        <v>73.599999999999994</v>
      </c>
      <c r="M10" s="24">
        <f>Rohmaterial!E8</f>
        <v>20</v>
      </c>
      <c r="N10" s="24">
        <f>Rohmaterial!F8</f>
        <v>0</v>
      </c>
      <c r="O10" s="24">
        <f t="shared" si="1"/>
        <v>20</v>
      </c>
      <c r="P10" s="21">
        <f t="shared" si="2"/>
        <v>9.1999999999999993</v>
      </c>
      <c r="Q10" s="24">
        <f>MAX(ROUNDUP(P10*Parameter!$B$5,0),AE10)</f>
        <v>4</v>
      </c>
      <c r="R10" s="21">
        <f t="shared" si="3"/>
        <v>14.9</v>
      </c>
      <c r="S10" s="21">
        <f t="shared" si="4"/>
        <v>14.9</v>
      </c>
      <c r="T10" s="21">
        <f t="shared" si="5"/>
        <v>14.9</v>
      </c>
      <c r="U10" s="21">
        <f t="shared" si="6"/>
        <v>24.8</v>
      </c>
      <c r="V10" s="21">
        <f t="shared" si="7"/>
        <v>57.8</v>
      </c>
      <c r="W10" s="21">
        <f t="shared" si="8"/>
        <v>57.8</v>
      </c>
      <c r="X10" s="21">
        <f t="shared" si="9"/>
        <v>62</v>
      </c>
      <c r="Y10" s="21">
        <f t="shared" si="10"/>
        <v>73.599999999999994</v>
      </c>
      <c r="Z10" s="24">
        <f t="shared" si="11"/>
        <v>42</v>
      </c>
      <c r="AA10" s="1" t="str">
        <f>Rohmaterial!D8</f>
        <v>L-03</v>
      </c>
      <c r="AB10" s="24">
        <f>VLOOKUP(AA10,Lieferanten!$A$2:$H$20,4,0)</f>
        <v>3</v>
      </c>
      <c r="AC10" s="1" t="str">
        <f>VLOOKUP(AA10,Lieferanten!$A$2:$H$20,5,0)</f>
        <v>B</v>
      </c>
      <c r="AD10" s="24">
        <f>IF(Z10="","",Z10-AB10-IF(AC10="C",Parameter!$B$11,0))</f>
        <v>39</v>
      </c>
      <c r="AE10" s="24">
        <f>Rohmaterial!G8</f>
        <v>4</v>
      </c>
      <c r="AF10" s="24">
        <f t="shared" si="12"/>
        <v>60</v>
      </c>
      <c r="AG10" s="1" t="str">
        <f>IF(AD10="","N",IF(AD10&lt;=Parameter!$B$2,"J","N"))</f>
        <v>J</v>
      </c>
      <c r="AH10" s="20">
        <f>AF10*Rohmaterial!H8</f>
        <v>18600</v>
      </c>
      <c r="AI10" s="29">
        <f>IF(Z10="","",Parameter!$B$4+(Z10-Parameter!$B$2)*7)</f>
        <v>46307</v>
      </c>
    </row>
    <row r="11" spans="1:35" ht="15" customHeight="1" x14ac:dyDescent="0.3">
      <c r="A11" s="10" t="str">
        <f>Rohmaterial!A9</f>
        <v>RM-108</v>
      </c>
      <c r="B11" s="1" t="str">
        <f>Rohmaterial!B9</f>
        <v>Alu EN AW-5083 Platte 40x500x1000</v>
      </c>
      <c r="C11" s="1" t="str">
        <f>Rohmaterial!C9</f>
        <v>Platte</v>
      </c>
      <c r="D11" s="21">
        <f>SUMIFS(Aufträge!$T$4:$T$500,Aufträge!$S$4:$S$500,$A11,Aufträge!$P$4:$P$500,D$3,Aufträge!$Q$4:$Q$500,"&lt;&gt;erledigt")+SUMIFS(Aufträge!$V$4:$V$500,Aufträge!$U$4:$U$500,$A11,Aufträge!$P$4:$P$500,D$3,Aufträge!$Q$4:$Q$500,"&lt;&gt;erledigt")</f>
        <v>0</v>
      </c>
      <c r="E11" s="21">
        <f>SUMIFS(Aufträge!$T$4:$T$500,Aufträge!$S$4:$S$500,$A11,Aufträge!$P$4:$P$500,E$3,Aufträge!$Q$4:$Q$500,"&lt;&gt;erledigt")+SUMIFS(Aufträge!$V$4:$V$500,Aufträge!$U$4:$U$500,$A11,Aufträge!$P$4:$P$500,E$3,Aufträge!$Q$4:$Q$500,"&lt;&gt;erledigt")</f>
        <v>6.6</v>
      </c>
      <c r="F11" s="21">
        <f>SUMIFS(Aufträge!$T$4:$T$500,Aufträge!$S$4:$S$500,$A11,Aufträge!$P$4:$P$500,F$3,Aufträge!$Q$4:$Q$500,"&lt;&gt;erledigt")+SUMIFS(Aufträge!$V$4:$V$500,Aufträge!$U$4:$U$500,$A11,Aufträge!$P$4:$P$500,F$3,Aufträge!$Q$4:$Q$500,"&lt;&gt;erledigt")</f>
        <v>0</v>
      </c>
      <c r="G11" s="21">
        <f>SUMIFS(Aufträge!$T$4:$T$500,Aufträge!$S$4:$S$500,$A11,Aufträge!$P$4:$P$500,G$3,Aufträge!$Q$4:$Q$500,"&lt;&gt;erledigt")+SUMIFS(Aufträge!$V$4:$V$500,Aufträge!$U$4:$U$500,$A11,Aufträge!$P$4:$P$500,G$3,Aufträge!$Q$4:$Q$500,"&lt;&gt;erledigt")</f>
        <v>0</v>
      </c>
      <c r="H11" s="21">
        <f>SUMIFS(Aufträge!$T$4:$T$500,Aufträge!$S$4:$S$500,$A11,Aufträge!$P$4:$P$500,H$3,Aufträge!$Q$4:$Q$500,"&lt;&gt;erledigt")+SUMIFS(Aufträge!$V$4:$V$500,Aufträge!$U$4:$U$500,$A11,Aufträge!$P$4:$P$500,H$3,Aufträge!$Q$4:$Q$500,"&lt;&gt;erledigt")</f>
        <v>0</v>
      </c>
      <c r="I11" s="21">
        <f>SUMIFS(Aufträge!$T$4:$T$500,Aufträge!$S$4:$S$500,$A11,Aufträge!$P$4:$P$500,I$3,Aufträge!$Q$4:$Q$500,"&lt;&gt;erledigt")+SUMIFS(Aufträge!$V$4:$V$500,Aufträge!$U$4:$U$500,$A11,Aufträge!$P$4:$P$500,I$3,Aufträge!$Q$4:$Q$500,"&lt;&gt;erledigt")</f>
        <v>19.299999999999997</v>
      </c>
      <c r="J11" s="21">
        <f>SUMIFS(Aufträge!$T$4:$T$500,Aufträge!$S$4:$S$500,$A11,Aufträge!$P$4:$P$500,J$3,Aufträge!$Q$4:$Q$500,"&lt;&gt;erledigt")+SUMIFS(Aufträge!$V$4:$V$500,Aufträge!$U$4:$U$500,$A11,Aufträge!$P$4:$P$500,J$3,Aufträge!$Q$4:$Q$500,"&lt;&gt;erledigt")</f>
        <v>0</v>
      </c>
      <c r="K11" s="21">
        <f>SUMIFS(Aufträge!$T$4:$T$500,Aufträge!$S$4:$S$500,$A11,Aufträge!$P$4:$P$500,K$3,Aufträge!$Q$4:$Q$500,"&lt;&gt;erledigt")+SUMIFS(Aufträge!$V$4:$V$500,Aufträge!$U$4:$U$500,$A11,Aufträge!$P$4:$P$500,K$3,Aufträge!$Q$4:$Q$500,"&lt;&gt;erledigt")</f>
        <v>0</v>
      </c>
      <c r="L11" s="21">
        <f t="shared" si="0"/>
        <v>25.9</v>
      </c>
      <c r="M11" s="24">
        <f>Rohmaterial!E9</f>
        <v>10</v>
      </c>
      <c r="N11" s="24">
        <f>Rohmaterial!F9</f>
        <v>0</v>
      </c>
      <c r="O11" s="24">
        <f t="shared" si="1"/>
        <v>10</v>
      </c>
      <c r="P11" s="21">
        <f t="shared" si="2"/>
        <v>3.2374999999999998</v>
      </c>
      <c r="Q11" s="24">
        <f>MAX(ROUNDUP(P11*Parameter!$B$5,0),AE11)</f>
        <v>2</v>
      </c>
      <c r="R11" s="21">
        <f t="shared" si="3"/>
        <v>0</v>
      </c>
      <c r="S11" s="21">
        <f t="shared" si="4"/>
        <v>6.6</v>
      </c>
      <c r="T11" s="21">
        <f t="shared" si="5"/>
        <v>6.6</v>
      </c>
      <c r="U11" s="21">
        <f t="shared" si="6"/>
        <v>6.6</v>
      </c>
      <c r="V11" s="21">
        <f t="shared" si="7"/>
        <v>6.6</v>
      </c>
      <c r="W11" s="21">
        <f t="shared" si="8"/>
        <v>25.9</v>
      </c>
      <c r="X11" s="21">
        <f t="shared" si="9"/>
        <v>25.9</v>
      </c>
      <c r="Y11" s="21">
        <f t="shared" si="10"/>
        <v>25.9</v>
      </c>
      <c r="Z11" s="24">
        <f t="shared" si="11"/>
        <v>44</v>
      </c>
      <c r="AA11" s="1" t="str">
        <f>Rohmaterial!D9</f>
        <v>L-03</v>
      </c>
      <c r="AB11" s="24">
        <f>VLOOKUP(AA11,Lieferanten!$A$2:$H$20,4,0)</f>
        <v>3</v>
      </c>
      <c r="AC11" s="1" t="str">
        <f>VLOOKUP(AA11,Lieferanten!$A$2:$H$20,5,0)</f>
        <v>B</v>
      </c>
      <c r="AD11" s="24">
        <f>IF(Z11="","",Z11-AB11-IF(AC11="C",Parameter!$B$11,0))</f>
        <v>41</v>
      </c>
      <c r="AE11" s="24">
        <f>Rohmaterial!G9</f>
        <v>2</v>
      </c>
      <c r="AF11" s="24">
        <f t="shared" si="12"/>
        <v>18</v>
      </c>
      <c r="AG11" s="1" t="str">
        <f>IF(AD11="","N",IF(AD11&lt;=Parameter!$B$2,"J","N"))</f>
        <v>N</v>
      </c>
      <c r="AH11" s="20">
        <f>AF11*Rohmaterial!H9</f>
        <v>11160</v>
      </c>
      <c r="AI11" s="29">
        <f>IF(Z11="","",Parameter!$B$4+(Z11-Parameter!$B$2)*7)</f>
        <v>46321</v>
      </c>
    </row>
    <row r="12" spans="1:35" ht="15" customHeight="1" x14ac:dyDescent="0.3">
      <c r="A12" s="10" t="str">
        <f>Rohmaterial!A10</f>
        <v>RM-109</v>
      </c>
      <c r="B12" s="1" t="str">
        <f>Rohmaterial!B10</f>
        <v>Guss-Rohling Gehäuse GG25 Typ G12</v>
      </c>
      <c r="C12" s="1" t="str">
        <f>Rohmaterial!C10</f>
        <v>Stk</v>
      </c>
      <c r="D12" s="21">
        <f>SUMIFS(Aufträge!$T$4:$T$500,Aufträge!$S$4:$S$500,$A12,Aufträge!$P$4:$P$500,D$3,Aufträge!$Q$4:$Q$500,"&lt;&gt;erledigt")+SUMIFS(Aufträge!$V$4:$V$500,Aufträge!$U$4:$U$500,$A12,Aufträge!$P$4:$P$500,D$3,Aufträge!$Q$4:$Q$500,"&lt;&gt;erledigt")</f>
        <v>0</v>
      </c>
      <c r="E12" s="21">
        <f>SUMIFS(Aufträge!$T$4:$T$500,Aufträge!$S$4:$S$500,$A12,Aufträge!$P$4:$P$500,E$3,Aufträge!$Q$4:$Q$500,"&lt;&gt;erledigt")+SUMIFS(Aufträge!$V$4:$V$500,Aufträge!$U$4:$U$500,$A12,Aufträge!$P$4:$P$500,E$3,Aufträge!$Q$4:$Q$500,"&lt;&gt;erledigt")</f>
        <v>40</v>
      </c>
      <c r="F12" s="21">
        <f>SUMIFS(Aufträge!$T$4:$T$500,Aufträge!$S$4:$S$500,$A12,Aufträge!$P$4:$P$500,F$3,Aufträge!$Q$4:$Q$500,"&lt;&gt;erledigt")+SUMIFS(Aufträge!$V$4:$V$500,Aufträge!$U$4:$U$500,$A12,Aufträge!$P$4:$P$500,F$3,Aufträge!$Q$4:$Q$500,"&lt;&gt;erledigt")</f>
        <v>30</v>
      </c>
      <c r="G12" s="21">
        <f>SUMIFS(Aufträge!$T$4:$T$500,Aufträge!$S$4:$S$500,$A12,Aufträge!$P$4:$P$500,G$3,Aufträge!$Q$4:$Q$500,"&lt;&gt;erledigt")+SUMIFS(Aufträge!$V$4:$V$500,Aufträge!$U$4:$U$500,$A12,Aufträge!$P$4:$P$500,G$3,Aufträge!$Q$4:$Q$500,"&lt;&gt;erledigt")</f>
        <v>0</v>
      </c>
      <c r="H12" s="21">
        <f>SUMIFS(Aufträge!$T$4:$T$500,Aufträge!$S$4:$S$500,$A12,Aufträge!$P$4:$P$500,H$3,Aufträge!$Q$4:$Q$500,"&lt;&gt;erledigt")+SUMIFS(Aufträge!$V$4:$V$500,Aufträge!$U$4:$U$500,$A12,Aufträge!$P$4:$P$500,H$3,Aufträge!$Q$4:$Q$500,"&lt;&gt;erledigt")</f>
        <v>0</v>
      </c>
      <c r="I12" s="21">
        <f>SUMIFS(Aufträge!$T$4:$T$500,Aufträge!$S$4:$S$500,$A12,Aufträge!$P$4:$P$500,I$3,Aufträge!$Q$4:$Q$500,"&lt;&gt;erledigt")+SUMIFS(Aufträge!$V$4:$V$500,Aufträge!$U$4:$U$500,$A12,Aufträge!$P$4:$P$500,I$3,Aufträge!$Q$4:$Q$500,"&lt;&gt;erledigt")</f>
        <v>50</v>
      </c>
      <c r="J12" s="21">
        <f>SUMIFS(Aufträge!$T$4:$T$500,Aufträge!$S$4:$S$500,$A12,Aufträge!$P$4:$P$500,J$3,Aufträge!$Q$4:$Q$500,"&lt;&gt;erledigt")+SUMIFS(Aufträge!$V$4:$V$500,Aufträge!$U$4:$U$500,$A12,Aufträge!$P$4:$P$500,J$3,Aufträge!$Q$4:$Q$500,"&lt;&gt;erledigt")</f>
        <v>20</v>
      </c>
      <c r="K12" s="21">
        <f>SUMIFS(Aufträge!$T$4:$T$500,Aufträge!$S$4:$S$500,$A12,Aufträge!$P$4:$P$500,K$3,Aufträge!$Q$4:$Q$500,"&lt;&gt;erledigt")+SUMIFS(Aufträge!$V$4:$V$500,Aufträge!$U$4:$U$500,$A12,Aufträge!$P$4:$P$500,K$3,Aufträge!$Q$4:$Q$500,"&lt;&gt;erledigt")</f>
        <v>0</v>
      </c>
      <c r="L12" s="21">
        <f t="shared" si="0"/>
        <v>140</v>
      </c>
      <c r="M12" s="24">
        <f>Rohmaterial!E10</f>
        <v>90</v>
      </c>
      <c r="N12" s="24">
        <f>Rohmaterial!F10</f>
        <v>0</v>
      </c>
      <c r="O12" s="24">
        <f t="shared" si="1"/>
        <v>90</v>
      </c>
      <c r="P12" s="21">
        <f t="shared" si="2"/>
        <v>17.5</v>
      </c>
      <c r="Q12" s="24">
        <f>MAX(ROUNDUP(P12*Parameter!$B$5,0),AE12)</f>
        <v>20</v>
      </c>
      <c r="R12" s="21">
        <f t="shared" si="3"/>
        <v>0</v>
      </c>
      <c r="S12" s="21">
        <f t="shared" si="4"/>
        <v>40</v>
      </c>
      <c r="T12" s="21">
        <f t="shared" si="5"/>
        <v>70</v>
      </c>
      <c r="U12" s="21">
        <f t="shared" si="6"/>
        <v>70</v>
      </c>
      <c r="V12" s="21">
        <f t="shared" si="7"/>
        <v>70</v>
      </c>
      <c r="W12" s="21">
        <f t="shared" si="8"/>
        <v>120</v>
      </c>
      <c r="X12" s="21">
        <f t="shared" si="9"/>
        <v>140</v>
      </c>
      <c r="Y12" s="21">
        <f t="shared" si="10"/>
        <v>140</v>
      </c>
      <c r="Z12" s="24">
        <f t="shared" si="11"/>
        <v>44</v>
      </c>
      <c r="AA12" s="1" t="str">
        <f>Rohmaterial!D10</f>
        <v>L-04</v>
      </c>
      <c r="AB12" s="24">
        <f>VLOOKUP(AA12,Lieferanten!$A$2:$H$20,4,0)</f>
        <v>5</v>
      </c>
      <c r="AC12" s="1" t="str">
        <f>VLOOKUP(AA12,Lieferanten!$A$2:$H$20,5,0)</f>
        <v>C</v>
      </c>
      <c r="AD12" s="24">
        <f>IF(Z12="","",Z12-AB12-IF(AC12="C",Parameter!$B$11,0))</f>
        <v>38</v>
      </c>
      <c r="AE12" s="24">
        <f>Rohmaterial!G10</f>
        <v>20</v>
      </c>
      <c r="AF12" s="24">
        <f t="shared" si="12"/>
        <v>80</v>
      </c>
      <c r="AG12" s="1" t="str">
        <f>IF(AD12="","N",IF(AD12&lt;=Parameter!$B$2,"J","N"))</f>
        <v>J</v>
      </c>
      <c r="AH12" s="20">
        <f>AF12*Rohmaterial!H10</f>
        <v>3080</v>
      </c>
      <c r="AI12" s="29">
        <f>IF(Z12="","",Parameter!$B$4+(Z12-Parameter!$B$2)*7)</f>
        <v>46321</v>
      </c>
    </row>
    <row r="13" spans="1:35" ht="15" customHeight="1" x14ac:dyDescent="0.3">
      <c r="A13" s="10" t="str">
        <f>Rohmaterial!A11</f>
        <v>RM-110</v>
      </c>
      <c r="B13" s="1" t="str">
        <f>Rohmaterial!B11</f>
        <v>Guss-Rohling Deckel GG25 Typ D12</v>
      </c>
      <c r="C13" s="1" t="str">
        <f>Rohmaterial!C11</f>
        <v>Stk</v>
      </c>
      <c r="D13" s="21">
        <f>SUMIFS(Aufträge!$T$4:$T$500,Aufträge!$S$4:$S$500,$A13,Aufträge!$P$4:$P$500,D$3,Aufträge!$Q$4:$Q$500,"&lt;&gt;erledigt")+SUMIFS(Aufträge!$V$4:$V$500,Aufträge!$U$4:$U$500,$A13,Aufträge!$P$4:$P$500,D$3,Aufträge!$Q$4:$Q$500,"&lt;&gt;erledigt")</f>
        <v>240</v>
      </c>
      <c r="E13" s="21">
        <f>SUMIFS(Aufträge!$T$4:$T$500,Aufträge!$S$4:$S$500,$A13,Aufträge!$P$4:$P$500,E$3,Aufträge!$Q$4:$Q$500,"&lt;&gt;erledigt")+SUMIFS(Aufträge!$V$4:$V$500,Aufträge!$U$4:$U$500,$A13,Aufträge!$P$4:$P$500,E$3,Aufträge!$Q$4:$Q$500,"&lt;&gt;erledigt")</f>
        <v>0</v>
      </c>
      <c r="F13" s="21">
        <f>SUMIFS(Aufträge!$T$4:$T$500,Aufträge!$S$4:$S$500,$A13,Aufträge!$P$4:$P$500,F$3,Aufträge!$Q$4:$Q$500,"&lt;&gt;erledigt")+SUMIFS(Aufträge!$V$4:$V$500,Aufträge!$U$4:$U$500,$A13,Aufträge!$P$4:$P$500,F$3,Aufträge!$Q$4:$Q$500,"&lt;&gt;erledigt")</f>
        <v>330</v>
      </c>
      <c r="G13" s="21">
        <f>SUMIFS(Aufträge!$T$4:$T$500,Aufträge!$S$4:$S$500,$A13,Aufträge!$P$4:$P$500,G$3,Aufträge!$Q$4:$Q$500,"&lt;&gt;erledigt")+SUMIFS(Aufträge!$V$4:$V$500,Aufträge!$U$4:$U$500,$A13,Aufträge!$P$4:$P$500,G$3,Aufträge!$Q$4:$Q$500,"&lt;&gt;erledigt")</f>
        <v>0</v>
      </c>
      <c r="H13" s="21">
        <f>SUMIFS(Aufträge!$T$4:$T$500,Aufträge!$S$4:$S$500,$A13,Aufträge!$P$4:$P$500,H$3,Aufträge!$Q$4:$Q$500,"&lt;&gt;erledigt")+SUMIFS(Aufträge!$V$4:$V$500,Aufträge!$U$4:$U$500,$A13,Aufträge!$P$4:$P$500,H$3,Aufträge!$Q$4:$Q$500,"&lt;&gt;erledigt")</f>
        <v>0</v>
      </c>
      <c r="I13" s="21">
        <f>SUMIFS(Aufträge!$T$4:$T$500,Aufträge!$S$4:$S$500,$A13,Aufträge!$P$4:$P$500,I$3,Aufträge!$Q$4:$Q$500,"&lt;&gt;erledigt")+SUMIFS(Aufträge!$V$4:$V$500,Aufträge!$U$4:$U$500,$A13,Aufträge!$P$4:$P$500,I$3,Aufträge!$Q$4:$Q$500,"&lt;&gt;erledigt")</f>
        <v>200</v>
      </c>
      <c r="J13" s="21">
        <f>SUMIFS(Aufträge!$T$4:$T$500,Aufträge!$S$4:$S$500,$A13,Aufträge!$P$4:$P$500,J$3,Aufträge!$Q$4:$Q$500,"&lt;&gt;erledigt")+SUMIFS(Aufträge!$V$4:$V$500,Aufträge!$U$4:$U$500,$A13,Aufträge!$P$4:$P$500,J$3,Aufträge!$Q$4:$Q$500,"&lt;&gt;erledigt")</f>
        <v>20</v>
      </c>
      <c r="K13" s="21">
        <f>SUMIFS(Aufträge!$T$4:$T$500,Aufträge!$S$4:$S$500,$A13,Aufträge!$P$4:$P$500,K$3,Aufträge!$Q$4:$Q$500,"&lt;&gt;erledigt")+SUMIFS(Aufträge!$V$4:$V$500,Aufträge!$U$4:$U$500,$A13,Aufträge!$P$4:$P$500,K$3,Aufträge!$Q$4:$Q$500,"&lt;&gt;erledigt")</f>
        <v>0</v>
      </c>
      <c r="L13" s="21">
        <f t="shared" si="0"/>
        <v>790</v>
      </c>
      <c r="M13" s="24">
        <f>Rohmaterial!E11</f>
        <v>620</v>
      </c>
      <c r="N13" s="24">
        <f>Rohmaterial!F11</f>
        <v>200</v>
      </c>
      <c r="O13" s="24">
        <f t="shared" si="1"/>
        <v>820</v>
      </c>
      <c r="P13" s="21">
        <f t="shared" si="2"/>
        <v>98.75</v>
      </c>
      <c r="Q13" s="24">
        <f>MAX(ROUNDUP(P13*Parameter!$B$5,0),AE13)</f>
        <v>40</v>
      </c>
      <c r="R13" s="21">
        <f t="shared" si="3"/>
        <v>240</v>
      </c>
      <c r="S13" s="21">
        <f t="shared" si="4"/>
        <v>240</v>
      </c>
      <c r="T13" s="21">
        <f t="shared" si="5"/>
        <v>570</v>
      </c>
      <c r="U13" s="21">
        <f t="shared" si="6"/>
        <v>570</v>
      </c>
      <c r="V13" s="21">
        <f t="shared" si="7"/>
        <v>570</v>
      </c>
      <c r="W13" s="21">
        <f t="shared" si="8"/>
        <v>770</v>
      </c>
      <c r="X13" s="21">
        <f t="shared" si="9"/>
        <v>790</v>
      </c>
      <c r="Y13" s="21">
        <f t="shared" si="10"/>
        <v>790</v>
      </c>
      <c r="Z13" s="24">
        <f t="shared" si="11"/>
        <v>45</v>
      </c>
      <c r="AA13" s="1" t="str">
        <f>Rohmaterial!D11</f>
        <v>L-04</v>
      </c>
      <c r="AB13" s="24">
        <f>VLOOKUP(AA13,Lieferanten!$A$2:$H$20,4,0)</f>
        <v>5</v>
      </c>
      <c r="AC13" s="1" t="str">
        <f>VLOOKUP(AA13,Lieferanten!$A$2:$H$20,5,0)</f>
        <v>C</v>
      </c>
      <c r="AD13" s="24">
        <f>IF(Z13="","",Z13-AB13-IF(AC13="C",Parameter!$B$11,0))</f>
        <v>39</v>
      </c>
      <c r="AE13" s="24">
        <f>Rohmaterial!G11</f>
        <v>40</v>
      </c>
      <c r="AF13" s="24">
        <f t="shared" si="12"/>
        <v>40</v>
      </c>
      <c r="AG13" s="1" t="str">
        <f>IF(AD13="","N",IF(AD13&lt;=Parameter!$B$2,"J","N"))</f>
        <v>J</v>
      </c>
      <c r="AH13" s="20">
        <f>AF13*Rohmaterial!H11</f>
        <v>568</v>
      </c>
      <c r="AI13" s="29">
        <f>IF(Z13="","",Parameter!$B$4+(Z13-Parameter!$B$2)*7)</f>
        <v>46328</v>
      </c>
    </row>
    <row r="14" spans="1:35" ht="15" customHeight="1" x14ac:dyDescent="0.3">
      <c r="A14" s="10" t="str">
        <f>Rohmaterial!A12</f>
        <v>RM-111</v>
      </c>
      <c r="B14" s="1" t="str">
        <f>Rohmaterial!B12</f>
        <v>Messing CuZn39Pb3 Sechskant SW17 x 3000</v>
      </c>
      <c r="C14" s="1" t="str">
        <f>Rohmaterial!C12</f>
        <v>Stange</v>
      </c>
      <c r="D14" s="21">
        <f>SUMIFS(Aufträge!$T$4:$T$500,Aufträge!$S$4:$S$500,$A14,Aufträge!$P$4:$P$500,D$3,Aufträge!$Q$4:$Q$500,"&lt;&gt;erledigt")+SUMIFS(Aufträge!$V$4:$V$500,Aufträge!$U$4:$U$500,$A14,Aufträge!$P$4:$P$500,D$3,Aufträge!$Q$4:$Q$500,"&lt;&gt;erledigt")</f>
        <v>0</v>
      </c>
      <c r="E14" s="21">
        <f>SUMIFS(Aufträge!$T$4:$T$500,Aufträge!$S$4:$S$500,$A14,Aufträge!$P$4:$P$500,E$3,Aufträge!$Q$4:$Q$500,"&lt;&gt;erledigt")+SUMIFS(Aufträge!$V$4:$V$500,Aufträge!$U$4:$U$500,$A14,Aufträge!$P$4:$P$500,E$3,Aufträge!$Q$4:$Q$500,"&lt;&gt;erledigt")</f>
        <v>8.4</v>
      </c>
      <c r="F14" s="21">
        <f>SUMIFS(Aufträge!$T$4:$T$500,Aufträge!$S$4:$S$500,$A14,Aufträge!$P$4:$P$500,F$3,Aufträge!$Q$4:$Q$500,"&lt;&gt;erledigt")+SUMIFS(Aufträge!$V$4:$V$500,Aufträge!$U$4:$U$500,$A14,Aufträge!$P$4:$P$500,F$3,Aufträge!$Q$4:$Q$500,"&lt;&gt;erledigt")</f>
        <v>0</v>
      </c>
      <c r="G14" s="21">
        <f>SUMIFS(Aufträge!$T$4:$T$500,Aufträge!$S$4:$S$500,$A14,Aufträge!$P$4:$P$500,G$3,Aufträge!$Q$4:$Q$500,"&lt;&gt;erledigt")+SUMIFS(Aufträge!$V$4:$V$500,Aufträge!$U$4:$U$500,$A14,Aufträge!$P$4:$P$500,G$3,Aufträge!$Q$4:$Q$500,"&lt;&gt;erledigt")</f>
        <v>0</v>
      </c>
      <c r="H14" s="21">
        <f>SUMIFS(Aufträge!$T$4:$T$500,Aufträge!$S$4:$S$500,$A14,Aufträge!$P$4:$P$500,H$3,Aufträge!$Q$4:$Q$500,"&lt;&gt;erledigt")+SUMIFS(Aufträge!$V$4:$V$500,Aufträge!$U$4:$U$500,$A14,Aufträge!$P$4:$P$500,H$3,Aufträge!$Q$4:$Q$500,"&lt;&gt;erledigt")</f>
        <v>10.5</v>
      </c>
      <c r="I14" s="21">
        <f>SUMIFS(Aufträge!$T$4:$T$500,Aufträge!$S$4:$S$500,$A14,Aufträge!$P$4:$P$500,I$3,Aufträge!$Q$4:$Q$500,"&lt;&gt;erledigt")+SUMIFS(Aufträge!$V$4:$V$500,Aufträge!$U$4:$U$500,$A14,Aufträge!$P$4:$P$500,I$3,Aufträge!$Q$4:$Q$500,"&lt;&gt;erledigt")</f>
        <v>0</v>
      </c>
      <c r="J14" s="21">
        <f>SUMIFS(Aufträge!$T$4:$T$500,Aufträge!$S$4:$S$500,$A14,Aufträge!$P$4:$P$500,J$3,Aufträge!$Q$4:$Q$500,"&lt;&gt;erledigt")+SUMIFS(Aufträge!$V$4:$V$500,Aufträge!$U$4:$U$500,$A14,Aufträge!$P$4:$P$500,J$3,Aufträge!$Q$4:$Q$500,"&lt;&gt;erledigt")</f>
        <v>0</v>
      </c>
      <c r="K14" s="21">
        <f>SUMIFS(Aufträge!$T$4:$T$500,Aufträge!$S$4:$S$500,$A14,Aufträge!$P$4:$P$500,K$3,Aufträge!$Q$4:$Q$500,"&lt;&gt;erledigt")+SUMIFS(Aufträge!$V$4:$V$500,Aufträge!$U$4:$U$500,$A14,Aufträge!$P$4:$P$500,K$3,Aufträge!$Q$4:$Q$500,"&lt;&gt;erledigt")</f>
        <v>0</v>
      </c>
      <c r="L14" s="21">
        <f t="shared" si="0"/>
        <v>18.899999999999999</v>
      </c>
      <c r="M14" s="24">
        <f>Rohmaterial!E12</f>
        <v>35</v>
      </c>
      <c r="N14" s="24">
        <f>Rohmaterial!F12</f>
        <v>0</v>
      </c>
      <c r="O14" s="24">
        <f t="shared" si="1"/>
        <v>35</v>
      </c>
      <c r="P14" s="21">
        <f t="shared" si="2"/>
        <v>2.3624999999999998</v>
      </c>
      <c r="Q14" s="24">
        <f>MAX(ROUNDUP(P14*Parameter!$B$5,0),AE14)</f>
        <v>20</v>
      </c>
      <c r="R14" s="21">
        <f t="shared" si="3"/>
        <v>0</v>
      </c>
      <c r="S14" s="21">
        <f t="shared" si="4"/>
        <v>8.4</v>
      </c>
      <c r="T14" s="21">
        <f t="shared" si="5"/>
        <v>8.4</v>
      </c>
      <c r="U14" s="21">
        <f t="shared" si="6"/>
        <v>8.4</v>
      </c>
      <c r="V14" s="21">
        <f t="shared" si="7"/>
        <v>18.899999999999999</v>
      </c>
      <c r="W14" s="21">
        <f t="shared" si="8"/>
        <v>18.899999999999999</v>
      </c>
      <c r="X14" s="21">
        <f t="shared" si="9"/>
        <v>18.899999999999999</v>
      </c>
      <c r="Y14" s="21">
        <f t="shared" si="10"/>
        <v>18.899999999999999</v>
      </c>
      <c r="Z14" s="24">
        <f t="shared" si="11"/>
        <v>43</v>
      </c>
      <c r="AA14" s="1" t="str">
        <f>Rohmaterial!D12</f>
        <v>L-05</v>
      </c>
      <c r="AB14" s="24">
        <f>VLOOKUP(AA14,Lieferanten!$A$2:$H$20,4,0)</f>
        <v>2</v>
      </c>
      <c r="AC14" s="1" t="str">
        <f>VLOOKUP(AA14,Lieferanten!$A$2:$H$20,5,0)</f>
        <v>B</v>
      </c>
      <c r="AD14" s="24">
        <f>IF(Z14="","",Z14-AB14-IF(AC14="C",Parameter!$B$11,0))</f>
        <v>41</v>
      </c>
      <c r="AE14" s="24">
        <f>Rohmaterial!G12</f>
        <v>20</v>
      </c>
      <c r="AF14" s="24">
        <f t="shared" si="12"/>
        <v>20</v>
      </c>
      <c r="AG14" s="1" t="str">
        <f>IF(AD14="","N",IF(AD14&lt;=Parameter!$B$2,"J","N"))</f>
        <v>N</v>
      </c>
      <c r="AH14" s="20">
        <f>AF14*Rohmaterial!H12</f>
        <v>1480</v>
      </c>
      <c r="AI14" s="29">
        <f>IF(Z14="","",Parameter!$B$4+(Z14-Parameter!$B$2)*7)</f>
        <v>46314</v>
      </c>
    </row>
    <row r="15" spans="1:35" ht="15" customHeight="1" x14ac:dyDescent="0.3">
      <c r="A15" s="10" t="str">
        <f>Rohmaterial!A13</f>
        <v>RM-112</v>
      </c>
      <c r="B15" s="1" t="str">
        <f>Rohmaterial!B13</f>
        <v>Messing CuZn39Pb3 Rund Ø25 x 3000</v>
      </c>
      <c r="C15" s="1" t="str">
        <f>Rohmaterial!C13</f>
        <v>Stange</v>
      </c>
      <c r="D15" s="21">
        <f>SUMIFS(Aufträge!$T$4:$T$500,Aufträge!$S$4:$S$500,$A15,Aufträge!$P$4:$P$500,D$3,Aufträge!$Q$4:$Q$500,"&lt;&gt;erledigt")+SUMIFS(Aufträge!$V$4:$V$500,Aufträge!$U$4:$U$500,$A15,Aufträge!$P$4:$P$500,D$3,Aufträge!$Q$4:$Q$500,"&lt;&gt;erledigt")</f>
        <v>0</v>
      </c>
      <c r="E15" s="21">
        <f>SUMIFS(Aufträge!$T$4:$T$500,Aufträge!$S$4:$S$500,$A15,Aufträge!$P$4:$P$500,E$3,Aufträge!$Q$4:$Q$500,"&lt;&gt;erledigt")+SUMIFS(Aufträge!$V$4:$V$500,Aufträge!$U$4:$U$500,$A15,Aufträge!$P$4:$P$500,E$3,Aufträge!$Q$4:$Q$500,"&lt;&gt;erledigt")</f>
        <v>0</v>
      </c>
      <c r="F15" s="21">
        <f>SUMIFS(Aufträge!$T$4:$T$500,Aufträge!$S$4:$S$500,$A15,Aufträge!$P$4:$P$500,F$3,Aufträge!$Q$4:$Q$500,"&lt;&gt;erledigt")+SUMIFS(Aufträge!$V$4:$V$500,Aufträge!$U$4:$U$500,$A15,Aufträge!$P$4:$P$500,F$3,Aufträge!$Q$4:$Q$500,"&lt;&gt;erledigt")</f>
        <v>0</v>
      </c>
      <c r="G15" s="21">
        <f>SUMIFS(Aufträge!$T$4:$T$500,Aufträge!$S$4:$S$500,$A15,Aufträge!$P$4:$P$500,G$3,Aufträge!$Q$4:$Q$500,"&lt;&gt;erledigt")+SUMIFS(Aufträge!$V$4:$V$500,Aufträge!$U$4:$U$500,$A15,Aufträge!$P$4:$P$500,G$3,Aufträge!$Q$4:$Q$500,"&lt;&gt;erledigt")</f>
        <v>7.6</v>
      </c>
      <c r="H15" s="21">
        <f>SUMIFS(Aufträge!$T$4:$T$500,Aufträge!$S$4:$S$500,$A15,Aufträge!$P$4:$P$500,H$3,Aufträge!$Q$4:$Q$500,"&lt;&gt;erledigt")+SUMIFS(Aufträge!$V$4:$V$500,Aufträge!$U$4:$U$500,$A15,Aufträge!$P$4:$P$500,H$3,Aufträge!$Q$4:$Q$500,"&lt;&gt;erledigt")</f>
        <v>0</v>
      </c>
      <c r="I15" s="21">
        <f>SUMIFS(Aufträge!$T$4:$T$500,Aufträge!$S$4:$S$500,$A15,Aufträge!$P$4:$P$500,I$3,Aufträge!$Q$4:$Q$500,"&lt;&gt;erledigt")+SUMIFS(Aufträge!$V$4:$V$500,Aufträge!$U$4:$U$500,$A15,Aufträge!$P$4:$P$500,I$3,Aufträge!$Q$4:$Q$500,"&lt;&gt;erledigt")</f>
        <v>0</v>
      </c>
      <c r="J15" s="21">
        <f>SUMIFS(Aufträge!$T$4:$T$500,Aufträge!$S$4:$S$500,$A15,Aufträge!$P$4:$P$500,J$3,Aufträge!$Q$4:$Q$500,"&lt;&gt;erledigt")+SUMIFS(Aufträge!$V$4:$V$500,Aufträge!$U$4:$U$500,$A15,Aufträge!$P$4:$P$500,J$3,Aufträge!$Q$4:$Q$500,"&lt;&gt;erledigt")</f>
        <v>5.6999999999999993</v>
      </c>
      <c r="K15" s="21">
        <f>SUMIFS(Aufträge!$T$4:$T$500,Aufträge!$S$4:$S$500,$A15,Aufträge!$P$4:$P$500,K$3,Aufträge!$Q$4:$Q$500,"&lt;&gt;erledigt")+SUMIFS(Aufträge!$V$4:$V$500,Aufträge!$U$4:$U$500,$A15,Aufträge!$P$4:$P$500,K$3,Aufträge!$Q$4:$Q$500,"&lt;&gt;erledigt")</f>
        <v>0</v>
      </c>
      <c r="L15" s="21">
        <f t="shared" si="0"/>
        <v>13.299999999999999</v>
      </c>
      <c r="M15" s="24">
        <f>Rohmaterial!E13</f>
        <v>14</v>
      </c>
      <c r="N15" s="24">
        <f>Rohmaterial!F13</f>
        <v>0</v>
      </c>
      <c r="O15" s="24">
        <f t="shared" si="1"/>
        <v>14</v>
      </c>
      <c r="P15" s="21">
        <f t="shared" si="2"/>
        <v>1.6624999999999999</v>
      </c>
      <c r="Q15" s="24">
        <f>MAX(ROUNDUP(P15*Parameter!$B$5,0),AE15)</f>
        <v>10</v>
      </c>
      <c r="R15" s="21">
        <f t="shared" si="3"/>
        <v>0</v>
      </c>
      <c r="S15" s="21">
        <f t="shared" si="4"/>
        <v>0</v>
      </c>
      <c r="T15" s="21">
        <f t="shared" si="5"/>
        <v>0</v>
      </c>
      <c r="U15" s="21">
        <f t="shared" si="6"/>
        <v>7.6</v>
      </c>
      <c r="V15" s="21">
        <f t="shared" si="7"/>
        <v>7.6</v>
      </c>
      <c r="W15" s="21">
        <f t="shared" si="8"/>
        <v>7.6</v>
      </c>
      <c r="X15" s="21">
        <f t="shared" si="9"/>
        <v>13.299999999999999</v>
      </c>
      <c r="Y15" s="21">
        <f t="shared" si="10"/>
        <v>13.299999999999999</v>
      </c>
      <c r="Z15" s="24">
        <f t="shared" si="11"/>
        <v>42</v>
      </c>
      <c r="AA15" s="1" t="str">
        <f>Rohmaterial!D13</f>
        <v>L-05</v>
      </c>
      <c r="AB15" s="24">
        <f>VLOOKUP(AA15,Lieferanten!$A$2:$H$20,4,0)</f>
        <v>2</v>
      </c>
      <c r="AC15" s="1" t="str">
        <f>VLOOKUP(AA15,Lieferanten!$A$2:$H$20,5,0)</f>
        <v>B</v>
      </c>
      <c r="AD15" s="24">
        <f>IF(Z15="","",Z15-AB15-IF(AC15="C",Parameter!$B$11,0))</f>
        <v>40</v>
      </c>
      <c r="AE15" s="24">
        <f>Rohmaterial!G13</f>
        <v>10</v>
      </c>
      <c r="AF15" s="24">
        <f t="shared" si="12"/>
        <v>10</v>
      </c>
      <c r="AG15" s="1" t="str">
        <f>IF(AD15="","N",IF(AD15&lt;=Parameter!$B$2,"J","N"))</f>
        <v>N</v>
      </c>
      <c r="AH15" s="20">
        <f>AF15*Rohmaterial!H13</f>
        <v>1180</v>
      </c>
      <c r="AI15" s="29">
        <f>IF(Z15="","",Parameter!$B$4+(Z15-Parameter!$B$2)*7)</f>
        <v>46307</v>
      </c>
    </row>
    <row r="16" spans="1:35" ht="15" customHeight="1" x14ac:dyDescent="0.3">
      <c r="A16" s="10" t="str">
        <f>Rohmaterial!A14</f>
        <v>RM-113</v>
      </c>
      <c r="B16" s="1" t="str">
        <f>Rohmaterial!B14</f>
        <v>Rundstahl 42CrMo4 Ø35 x 6000</v>
      </c>
      <c r="C16" s="1" t="str">
        <f>Rohmaterial!C14</f>
        <v>Stange</v>
      </c>
      <c r="D16" s="21">
        <f>SUMIFS(Aufträge!$T$4:$T$500,Aufträge!$S$4:$S$500,$A16,Aufträge!$P$4:$P$500,D$3,Aufträge!$Q$4:$Q$500,"&lt;&gt;erledigt")+SUMIFS(Aufträge!$V$4:$V$500,Aufträge!$U$4:$U$500,$A16,Aufträge!$P$4:$P$500,D$3,Aufträge!$Q$4:$Q$500,"&lt;&gt;erledigt")</f>
        <v>0</v>
      </c>
      <c r="E16" s="21">
        <f>SUMIFS(Aufträge!$T$4:$T$500,Aufträge!$S$4:$S$500,$A16,Aufträge!$P$4:$P$500,E$3,Aufträge!$Q$4:$Q$500,"&lt;&gt;erledigt")+SUMIFS(Aufträge!$V$4:$V$500,Aufträge!$U$4:$U$500,$A16,Aufträge!$P$4:$P$500,E$3,Aufträge!$Q$4:$Q$500,"&lt;&gt;erledigt")</f>
        <v>0</v>
      </c>
      <c r="F16" s="21">
        <f>SUMIFS(Aufträge!$T$4:$T$500,Aufträge!$S$4:$S$500,$A16,Aufträge!$P$4:$P$500,F$3,Aufträge!$Q$4:$Q$500,"&lt;&gt;erledigt")+SUMIFS(Aufträge!$V$4:$V$500,Aufträge!$U$4:$U$500,$A16,Aufträge!$P$4:$P$500,F$3,Aufträge!$Q$4:$Q$500,"&lt;&gt;erledigt")</f>
        <v>0</v>
      </c>
      <c r="G16" s="21">
        <f>SUMIFS(Aufträge!$T$4:$T$500,Aufträge!$S$4:$S$500,$A16,Aufträge!$P$4:$P$500,G$3,Aufträge!$Q$4:$Q$500,"&lt;&gt;erledigt")+SUMIFS(Aufträge!$V$4:$V$500,Aufträge!$U$4:$U$500,$A16,Aufträge!$P$4:$P$500,G$3,Aufträge!$Q$4:$Q$500,"&lt;&gt;erledigt")</f>
        <v>0</v>
      </c>
      <c r="H16" s="21">
        <f>SUMIFS(Aufträge!$T$4:$T$500,Aufträge!$S$4:$S$500,$A16,Aufträge!$P$4:$P$500,H$3,Aufträge!$Q$4:$Q$500,"&lt;&gt;erledigt")+SUMIFS(Aufträge!$V$4:$V$500,Aufträge!$U$4:$U$500,$A16,Aufträge!$P$4:$P$500,H$3,Aufträge!$Q$4:$Q$500,"&lt;&gt;erledigt")</f>
        <v>6.3</v>
      </c>
      <c r="I16" s="21">
        <f>SUMIFS(Aufträge!$T$4:$T$500,Aufträge!$S$4:$S$500,$A16,Aufträge!$P$4:$P$500,I$3,Aufträge!$Q$4:$Q$500,"&lt;&gt;erledigt")+SUMIFS(Aufträge!$V$4:$V$500,Aufträge!$U$4:$U$500,$A16,Aufträge!$P$4:$P$500,I$3,Aufträge!$Q$4:$Q$500,"&lt;&gt;erledigt")</f>
        <v>0</v>
      </c>
      <c r="J16" s="21">
        <f>SUMIFS(Aufträge!$T$4:$T$500,Aufträge!$S$4:$S$500,$A16,Aufträge!$P$4:$P$500,J$3,Aufträge!$Q$4:$Q$500,"&lt;&gt;erledigt")+SUMIFS(Aufträge!$V$4:$V$500,Aufträge!$U$4:$U$500,$A16,Aufträge!$P$4:$P$500,J$3,Aufträge!$Q$4:$Q$500,"&lt;&gt;erledigt")</f>
        <v>0</v>
      </c>
      <c r="K16" s="21">
        <f>SUMIFS(Aufträge!$T$4:$T$500,Aufträge!$S$4:$S$500,$A16,Aufträge!$P$4:$P$500,K$3,Aufträge!$Q$4:$Q$500,"&lt;&gt;erledigt")+SUMIFS(Aufträge!$V$4:$V$500,Aufträge!$U$4:$U$500,$A16,Aufträge!$P$4:$P$500,K$3,Aufträge!$Q$4:$Q$500,"&lt;&gt;erledigt")</f>
        <v>0</v>
      </c>
      <c r="L16" s="21">
        <f t="shared" si="0"/>
        <v>6.3</v>
      </c>
      <c r="M16" s="24">
        <f>Rohmaterial!E14</f>
        <v>8</v>
      </c>
      <c r="N16" s="24">
        <f>Rohmaterial!F14</f>
        <v>0</v>
      </c>
      <c r="O16" s="24">
        <f t="shared" si="1"/>
        <v>8</v>
      </c>
      <c r="P16" s="21">
        <f t="shared" si="2"/>
        <v>0.78749999999999998</v>
      </c>
      <c r="Q16" s="24">
        <f>MAX(ROUNDUP(P16*Parameter!$B$5,0),AE16)</f>
        <v>5</v>
      </c>
      <c r="R16" s="21">
        <f t="shared" si="3"/>
        <v>0</v>
      </c>
      <c r="S16" s="21">
        <f t="shared" si="4"/>
        <v>0</v>
      </c>
      <c r="T16" s="21">
        <f t="shared" si="5"/>
        <v>0</v>
      </c>
      <c r="U16" s="21">
        <f t="shared" si="6"/>
        <v>0</v>
      </c>
      <c r="V16" s="21">
        <f t="shared" si="7"/>
        <v>6.3</v>
      </c>
      <c r="W16" s="21">
        <f t="shared" si="8"/>
        <v>6.3</v>
      </c>
      <c r="X16" s="21">
        <f t="shared" si="9"/>
        <v>6.3</v>
      </c>
      <c r="Y16" s="21">
        <f t="shared" si="10"/>
        <v>6.3</v>
      </c>
      <c r="Z16" s="24">
        <f t="shared" si="11"/>
        <v>43</v>
      </c>
      <c r="AA16" s="1" t="str">
        <f>Rohmaterial!D14</f>
        <v>L-02</v>
      </c>
      <c r="AB16" s="24">
        <f>VLOOKUP(AA16,Lieferanten!$A$2:$H$20,4,0)</f>
        <v>1</v>
      </c>
      <c r="AC16" s="1" t="str">
        <f>VLOOKUP(AA16,Lieferanten!$A$2:$H$20,5,0)</f>
        <v>A</v>
      </c>
      <c r="AD16" s="24">
        <f>IF(Z16="","",Z16-AB16-IF(AC16="C",Parameter!$B$11,0))</f>
        <v>42</v>
      </c>
      <c r="AE16" s="24">
        <f>Rohmaterial!G14</f>
        <v>5</v>
      </c>
      <c r="AF16" s="24">
        <f t="shared" si="12"/>
        <v>5</v>
      </c>
      <c r="AG16" s="1" t="str">
        <f>IF(AD16="","N",IF(AD16&lt;=Parameter!$B$2,"J","N"))</f>
        <v>N</v>
      </c>
      <c r="AH16" s="20">
        <f>AF16*Rohmaterial!H14</f>
        <v>770</v>
      </c>
      <c r="AI16" s="29">
        <f>IF(Z16="","",Parameter!$B$4+(Z16-Parameter!$B$2)*7)</f>
        <v>46314</v>
      </c>
    </row>
    <row r="17" spans="1:35" ht="15" customHeight="1" x14ac:dyDescent="0.3">
      <c r="A17" s="10" t="str">
        <f>Rohmaterial!A15</f>
        <v>RM-114</v>
      </c>
      <c r="B17" s="1" t="str">
        <f>Rohmaterial!B15</f>
        <v>Flachstahl S235JR 60x10 x 6000</v>
      </c>
      <c r="C17" s="1" t="str">
        <f>Rohmaterial!C15</f>
        <v>Stange</v>
      </c>
      <c r="D17" s="21">
        <f>SUMIFS(Aufträge!$T$4:$T$500,Aufträge!$S$4:$S$500,$A17,Aufträge!$P$4:$P$500,D$3,Aufträge!$Q$4:$Q$500,"&lt;&gt;erledigt")+SUMIFS(Aufträge!$V$4:$V$500,Aufträge!$U$4:$U$500,$A17,Aufträge!$P$4:$P$500,D$3,Aufträge!$Q$4:$Q$500,"&lt;&gt;erledigt")</f>
        <v>0</v>
      </c>
      <c r="E17" s="21">
        <f>SUMIFS(Aufträge!$T$4:$T$500,Aufträge!$S$4:$S$500,$A17,Aufträge!$P$4:$P$500,E$3,Aufträge!$Q$4:$Q$500,"&lt;&gt;erledigt")+SUMIFS(Aufträge!$V$4:$V$500,Aufträge!$U$4:$U$500,$A17,Aufträge!$P$4:$P$500,E$3,Aufträge!$Q$4:$Q$500,"&lt;&gt;erledigt")</f>
        <v>0</v>
      </c>
      <c r="F17" s="21">
        <f>SUMIFS(Aufträge!$T$4:$T$500,Aufträge!$S$4:$S$500,$A17,Aufträge!$P$4:$P$500,F$3,Aufträge!$Q$4:$Q$500,"&lt;&gt;erledigt")+SUMIFS(Aufträge!$V$4:$V$500,Aufträge!$U$4:$U$500,$A17,Aufträge!$P$4:$P$500,F$3,Aufträge!$Q$4:$Q$500,"&lt;&gt;erledigt")</f>
        <v>0</v>
      </c>
      <c r="G17" s="21">
        <f>SUMIFS(Aufträge!$T$4:$T$500,Aufträge!$S$4:$S$500,$A17,Aufträge!$P$4:$P$500,G$3,Aufträge!$Q$4:$Q$500,"&lt;&gt;erledigt")+SUMIFS(Aufträge!$V$4:$V$500,Aufträge!$U$4:$U$500,$A17,Aufträge!$P$4:$P$500,G$3,Aufträge!$Q$4:$Q$500,"&lt;&gt;erledigt")</f>
        <v>22.1</v>
      </c>
      <c r="H17" s="21">
        <f>SUMIFS(Aufträge!$T$4:$T$500,Aufträge!$S$4:$S$500,$A17,Aufträge!$P$4:$P$500,H$3,Aufträge!$Q$4:$Q$500,"&lt;&gt;erledigt")+SUMIFS(Aufträge!$V$4:$V$500,Aufträge!$U$4:$U$500,$A17,Aufträge!$P$4:$P$500,H$3,Aufträge!$Q$4:$Q$500,"&lt;&gt;erledigt")</f>
        <v>0</v>
      </c>
      <c r="I17" s="21">
        <f>SUMIFS(Aufträge!$T$4:$T$500,Aufträge!$S$4:$S$500,$A17,Aufträge!$P$4:$P$500,I$3,Aufträge!$Q$4:$Q$500,"&lt;&gt;erledigt")+SUMIFS(Aufträge!$V$4:$V$500,Aufträge!$U$4:$U$500,$A17,Aufträge!$P$4:$P$500,I$3,Aufträge!$Q$4:$Q$500,"&lt;&gt;erledigt")</f>
        <v>0</v>
      </c>
      <c r="J17" s="21">
        <f>SUMIFS(Aufträge!$T$4:$T$500,Aufträge!$S$4:$S$500,$A17,Aufträge!$P$4:$P$500,J$3,Aufträge!$Q$4:$Q$500,"&lt;&gt;erledigt")+SUMIFS(Aufträge!$V$4:$V$500,Aufträge!$U$4:$U$500,$A17,Aufträge!$P$4:$P$500,J$3,Aufträge!$Q$4:$Q$500,"&lt;&gt;erledigt")</f>
        <v>0</v>
      </c>
      <c r="K17" s="21">
        <f>SUMIFS(Aufträge!$T$4:$T$500,Aufträge!$S$4:$S$500,$A17,Aufträge!$P$4:$P$500,K$3,Aufträge!$Q$4:$Q$500,"&lt;&gt;erledigt")+SUMIFS(Aufträge!$V$4:$V$500,Aufträge!$U$4:$U$500,$A17,Aufträge!$P$4:$P$500,K$3,Aufträge!$Q$4:$Q$500,"&lt;&gt;erledigt")</f>
        <v>18.400000000000002</v>
      </c>
      <c r="L17" s="21">
        <f t="shared" si="0"/>
        <v>40.5</v>
      </c>
      <c r="M17" s="24">
        <f>Rohmaterial!E15</f>
        <v>18</v>
      </c>
      <c r="N17" s="24">
        <f>Rohmaterial!F15</f>
        <v>0</v>
      </c>
      <c r="O17" s="24">
        <f t="shared" si="1"/>
        <v>18</v>
      </c>
      <c r="P17" s="21">
        <f t="shared" si="2"/>
        <v>5.0625</v>
      </c>
      <c r="Q17" s="24">
        <f>MAX(ROUNDUP(P17*Parameter!$B$5,0),AE17)</f>
        <v>10</v>
      </c>
      <c r="R17" s="21">
        <f t="shared" si="3"/>
        <v>0</v>
      </c>
      <c r="S17" s="21">
        <f t="shared" si="4"/>
        <v>0</v>
      </c>
      <c r="T17" s="21">
        <f t="shared" si="5"/>
        <v>0</v>
      </c>
      <c r="U17" s="21">
        <f t="shared" si="6"/>
        <v>22.1</v>
      </c>
      <c r="V17" s="21">
        <f t="shared" si="7"/>
        <v>22.1</v>
      </c>
      <c r="W17" s="21">
        <f t="shared" si="8"/>
        <v>22.1</v>
      </c>
      <c r="X17" s="21">
        <f t="shared" si="9"/>
        <v>22.1</v>
      </c>
      <c r="Y17" s="21">
        <f t="shared" si="10"/>
        <v>40.5</v>
      </c>
      <c r="Z17" s="24">
        <f t="shared" si="11"/>
        <v>42</v>
      </c>
      <c r="AA17" s="1" t="str">
        <f>Rohmaterial!D15</f>
        <v>L-02</v>
      </c>
      <c r="AB17" s="24">
        <f>VLOOKUP(AA17,Lieferanten!$A$2:$H$20,4,0)</f>
        <v>1</v>
      </c>
      <c r="AC17" s="1" t="str">
        <f>VLOOKUP(AA17,Lieferanten!$A$2:$H$20,5,0)</f>
        <v>A</v>
      </c>
      <c r="AD17" s="24">
        <f>IF(Z17="","",Z17-AB17-IF(AC17="C",Parameter!$B$11,0))</f>
        <v>41</v>
      </c>
      <c r="AE17" s="24">
        <f>Rohmaterial!G15</f>
        <v>10</v>
      </c>
      <c r="AF17" s="24">
        <f t="shared" si="12"/>
        <v>40</v>
      </c>
      <c r="AG17" s="1" t="str">
        <f>IF(AD17="","N",IF(AD17&lt;=Parameter!$B$2,"J","N"))</f>
        <v>N</v>
      </c>
      <c r="AH17" s="20">
        <f>AF17*Rohmaterial!H15</f>
        <v>2040</v>
      </c>
      <c r="AI17" s="29">
        <f>IF(Z17="","",Parameter!$B$4+(Z17-Parameter!$B$2)*7)</f>
        <v>46307</v>
      </c>
    </row>
    <row r="18" spans="1:35" ht="15" customHeight="1" x14ac:dyDescent="0.3">
      <c r="A18" s="10" t="str">
        <f>Rohmaterial!A16</f>
        <v>RM-115</v>
      </c>
      <c r="B18" s="1" t="str">
        <f>Rohmaterial!B16</f>
        <v>Rundstahl 1.4404 Ø16 x 6000</v>
      </c>
      <c r="C18" s="1" t="str">
        <f>Rohmaterial!C16</f>
        <v>Stange</v>
      </c>
      <c r="D18" s="21">
        <f>SUMIFS(Aufträge!$T$4:$T$500,Aufträge!$S$4:$S$500,$A18,Aufträge!$P$4:$P$500,D$3,Aufträge!$Q$4:$Q$500,"&lt;&gt;erledigt")+SUMIFS(Aufträge!$V$4:$V$500,Aufträge!$U$4:$U$500,$A18,Aufträge!$P$4:$P$500,D$3,Aufträge!$Q$4:$Q$500,"&lt;&gt;erledigt")</f>
        <v>0</v>
      </c>
      <c r="E18" s="21">
        <f>SUMIFS(Aufträge!$T$4:$T$500,Aufträge!$S$4:$S$500,$A18,Aufträge!$P$4:$P$500,E$3,Aufträge!$Q$4:$Q$500,"&lt;&gt;erledigt")+SUMIFS(Aufträge!$V$4:$V$500,Aufträge!$U$4:$U$500,$A18,Aufträge!$P$4:$P$500,E$3,Aufträge!$Q$4:$Q$500,"&lt;&gt;erledigt")</f>
        <v>0</v>
      </c>
      <c r="F18" s="21">
        <f>SUMIFS(Aufträge!$T$4:$T$500,Aufträge!$S$4:$S$500,$A18,Aufträge!$P$4:$P$500,F$3,Aufträge!$Q$4:$Q$500,"&lt;&gt;erledigt")+SUMIFS(Aufträge!$V$4:$V$500,Aufträge!$U$4:$U$500,$A18,Aufträge!$P$4:$P$500,F$3,Aufträge!$Q$4:$Q$500,"&lt;&gt;erledigt")</f>
        <v>23.700000000000003</v>
      </c>
      <c r="G18" s="21">
        <f>SUMIFS(Aufträge!$T$4:$T$500,Aufträge!$S$4:$S$500,$A18,Aufträge!$P$4:$P$500,G$3,Aufträge!$Q$4:$Q$500,"&lt;&gt;erledigt")+SUMIFS(Aufträge!$V$4:$V$500,Aufträge!$U$4:$U$500,$A18,Aufträge!$P$4:$P$500,G$3,Aufträge!$Q$4:$Q$500,"&lt;&gt;erledigt")</f>
        <v>0</v>
      </c>
      <c r="H18" s="21">
        <f>SUMIFS(Aufträge!$T$4:$T$500,Aufträge!$S$4:$S$500,$A18,Aufträge!$P$4:$P$500,H$3,Aufträge!$Q$4:$Q$500,"&lt;&gt;erledigt")+SUMIFS(Aufträge!$V$4:$V$500,Aufträge!$U$4:$U$500,$A18,Aufträge!$P$4:$P$500,H$3,Aufträge!$Q$4:$Q$500,"&lt;&gt;erledigt")</f>
        <v>0</v>
      </c>
      <c r="I18" s="21">
        <f>SUMIFS(Aufträge!$T$4:$T$500,Aufträge!$S$4:$S$500,$A18,Aufträge!$P$4:$P$500,I$3,Aufträge!$Q$4:$Q$500,"&lt;&gt;erledigt")+SUMIFS(Aufträge!$V$4:$V$500,Aufträge!$U$4:$U$500,$A18,Aufträge!$P$4:$P$500,I$3,Aufträge!$Q$4:$Q$500,"&lt;&gt;erledigt")</f>
        <v>0</v>
      </c>
      <c r="J18" s="21">
        <f>SUMIFS(Aufträge!$T$4:$T$500,Aufträge!$S$4:$S$500,$A18,Aufträge!$P$4:$P$500,J$3,Aufträge!$Q$4:$Q$500,"&lt;&gt;erledigt")+SUMIFS(Aufträge!$V$4:$V$500,Aufträge!$U$4:$U$500,$A18,Aufträge!$P$4:$P$500,J$3,Aufträge!$Q$4:$Q$500,"&lt;&gt;erledigt")</f>
        <v>31.5</v>
      </c>
      <c r="K18" s="21">
        <f>SUMIFS(Aufträge!$T$4:$T$500,Aufträge!$S$4:$S$500,$A18,Aufträge!$P$4:$P$500,K$3,Aufträge!$Q$4:$Q$500,"&lt;&gt;erledigt")+SUMIFS(Aufträge!$V$4:$V$500,Aufträge!$U$4:$U$500,$A18,Aufträge!$P$4:$P$500,K$3,Aufträge!$Q$4:$Q$500,"&lt;&gt;erledigt")</f>
        <v>0</v>
      </c>
      <c r="L18" s="21">
        <f t="shared" si="0"/>
        <v>55.2</v>
      </c>
      <c r="M18" s="24">
        <f>Rohmaterial!E16</f>
        <v>20</v>
      </c>
      <c r="N18" s="24">
        <f>Rohmaterial!F16</f>
        <v>0</v>
      </c>
      <c r="O18" s="24">
        <f t="shared" si="1"/>
        <v>20</v>
      </c>
      <c r="P18" s="21">
        <f t="shared" si="2"/>
        <v>6.9</v>
      </c>
      <c r="Q18" s="24">
        <f>MAX(ROUNDUP(P18*Parameter!$B$5,0),AE18)</f>
        <v>10</v>
      </c>
      <c r="R18" s="21">
        <f t="shared" si="3"/>
        <v>0</v>
      </c>
      <c r="S18" s="21">
        <f t="shared" si="4"/>
        <v>0</v>
      </c>
      <c r="T18" s="21">
        <f t="shared" si="5"/>
        <v>23.700000000000003</v>
      </c>
      <c r="U18" s="21">
        <f t="shared" si="6"/>
        <v>23.700000000000003</v>
      </c>
      <c r="V18" s="21">
        <f t="shared" si="7"/>
        <v>23.700000000000003</v>
      </c>
      <c r="W18" s="21">
        <f t="shared" si="8"/>
        <v>23.700000000000003</v>
      </c>
      <c r="X18" s="21">
        <f t="shared" si="9"/>
        <v>55.2</v>
      </c>
      <c r="Y18" s="21">
        <f t="shared" si="10"/>
        <v>55.2</v>
      </c>
      <c r="Z18" s="24">
        <f t="shared" si="11"/>
        <v>41</v>
      </c>
      <c r="AA18" s="1" t="str">
        <f>Rohmaterial!D16</f>
        <v>L-01</v>
      </c>
      <c r="AB18" s="24">
        <f>VLOOKUP(AA18,Lieferanten!$A$2:$H$20,4,0)</f>
        <v>2</v>
      </c>
      <c r="AC18" s="1" t="str">
        <f>VLOOKUP(AA18,Lieferanten!$A$2:$H$20,5,0)</f>
        <v>A</v>
      </c>
      <c r="AD18" s="24">
        <f>IF(Z18="","",Z18-AB18-IF(AC18="C",Parameter!$B$11,0))</f>
        <v>39</v>
      </c>
      <c r="AE18" s="24">
        <f>Rohmaterial!G16</f>
        <v>10</v>
      </c>
      <c r="AF18" s="24">
        <f t="shared" si="12"/>
        <v>50</v>
      </c>
      <c r="AG18" s="1" t="str">
        <f>IF(AD18="","N",IF(AD18&lt;=Parameter!$B$2,"J","N"))</f>
        <v>J</v>
      </c>
      <c r="AH18" s="20">
        <f>AF18*Rohmaterial!H16</f>
        <v>2950</v>
      </c>
      <c r="AI18" s="29">
        <f>IF(Z18="","",Parameter!$B$4+(Z18-Parameter!$B$2)*7)</f>
        <v>46300</v>
      </c>
    </row>
    <row r="20" spans="1:35" ht="15" customHeight="1" x14ac:dyDescent="0.3">
      <c r="A20" s="10" t="s">
        <v>389</v>
      </c>
      <c r="AG20" s="8">
        <f>COUNTIF(AG4:AG18,"J")</f>
        <v>5</v>
      </c>
      <c r="AH20" s="9">
        <f>SUMIF(AG4:AG18,"J",AH4:AH18)</f>
        <v>33773</v>
      </c>
    </row>
  </sheetData>
  <conditionalFormatting sqref="D4:K18">
    <cfRule type="cellIs" dxfId="2" priority="4" operator="equal">
      <formula>0</formula>
    </cfRule>
  </conditionalFormatting>
  <conditionalFormatting sqref="AG4:AG18">
    <cfRule type="cellIs" dxfId="1" priority="2" operator="equal">
      <formula>"J"</formula>
    </cfRule>
  </conditionalFormatting>
  <pageMargins left="0.75" right="0.75" top="1" bottom="1" header="0.511811023622047" footer="0.511811023622047"/>
  <pageSetup paperSize="9" orientation="portrait" horizontalDpi="300" verticalDpi="300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E-0000-0900-000003000000}">
            <xm:f>AND(AD4&lt;&gt;"",AD4&lt;Parameter!$B$2)</xm:f>
            <x14:dxf>
              <font>
                <b/>
                <sz val="10"/>
                <color rgb="FFC00000"/>
                <name val="Arial"/>
                <charset val="1"/>
              </font>
            </x14:dxf>
          </x14:cfRule>
          <xm:sqref>AD4:AD18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J6"/>
  <sheetViews>
    <sheetView zoomScaleNormal="100" workbookViewId="0"/>
  </sheetViews>
  <sheetFormatPr defaultColWidth="8.6640625" defaultRowHeight="14.4" x14ac:dyDescent="0.3"/>
  <cols>
    <col min="1" max="1" width="10" customWidth="1"/>
    <col min="2" max="2" width="9" customWidth="1"/>
    <col min="3" max="3" width="8" customWidth="1"/>
    <col min="4" max="4" width="9" customWidth="1"/>
    <col min="5" max="6" width="13" customWidth="1"/>
    <col min="7" max="7" width="30" customWidth="1"/>
    <col min="8" max="8" width="3" customWidth="1"/>
    <col min="9" max="9" width="15" customWidth="1"/>
    <col min="10" max="10" width="16" customWidth="1"/>
  </cols>
  <sheetData>
    <row r="1" spans="1:10" ht="23.25" customHeight="1" x14ac:dyDescent="0.3">
      <c r="A1" s="19" t="s">
        <v>390</v>
      </c>
      <c r="B1" s="19" t="s">
        <v>391</v>
      </c>
      <c r="C1" s="19" t="s">
        <v>392</v>
      </c>
      <c r="D1" s="19" t="s">
        <v>393</v>
      </c>
      <c r="E1" s="19" t="s">
        <v>394</v>
      </c>
      <c r="F1" s="19" t="s">
        <v>395</v>
      </c>
      <c r="G1" s="19" t="s">
        <v>396</v>
      </c>
      <c r="I1" s="4" t="s">
        <v>397</v>
      </c>
      <c r="J1" s="30">
        <v>46278.630312499998</v>
      </c>
    </row>
    <row r="2" spans="1:10" ht="15" customHeight="1" x14ac:dyDescent="0.3">
      <c r="A2" s="31" t="s">
        <v>126</v>
      </c>
      <c r="B2" s="1">
        <v>70045</v>
      </c>
      <c r="C2" s="1">
        <v>35</v>
      </c>
      <c r="D2" s="1" t="s">
        <v>105</v>
      </c>
      <c r="E2" s="1" t="s">
        <v>398</v>
      </c>
      <c r="F2" s="1">
        <v>4100</v>
      </c>
      <c r="G2" s="1" t="s">
        <v>436</v>
      </c>
      <c r="I2" s="4" t="s">
        <v>399</v>
      </c>
      <c r="J2" s="12" t="s">
        <v>438</v>
      </c>
    </row>
    <row r="3" spans="1:10" x14ac:dyDescent="0.3">
      <c r="A3" s="31" t="s">
        <v>131</v>
      </c>
      <c r="B3" s="1">
        <v>70045</v>
      </c>
      <c r="C3" s="1">
        <v>60</v>
      </c>
      <c r="D3" s="1" t="s">
        <v>130</v>
      </c>
      <c r="E3" s="1" t="s">
        <v>400</v>
      </c>
      <c r="F3" s="1">
        <v>4100</v>
      </c>
      <c r="G3" s="1" t="s">
        <v>401</v>
      </c>
    </row>
    <row r="4" spans="1:10" ht="15" customHeight="1" x14ac:dyDescent="0.3">
      <c r="A4" s="31" t="s">
        <v>140</v>
      </c>
      <c r="B4" s="1">
        <v>70058</v>
      </c>
      <c r="C4" s="1">
        <v>80</v>
      </c>
      <c r="D4" s="1" t="s">
        <v>139</v>
      </c>
      <c r="E4" s="1" t="s">
        <v>402</v>
      </c>
      <c r="F4" s="1">
        <v>4100</v>
      </c>
      <c r="G4" s="1" t="s">
        <v>437</v>
      </c>
      <c r="I4" s="3" t="s">
        <v>403</v>
      </c>
    </row>
    <row r="5" spans="1:10" x14ac:dyDescent="0.3">
      <c r="A5" s="31" t="s">
        <v>144</v>
      </c>
      <c r="B5" s="1">
        <v>70058</v>
      </c>
      <c r="C5" s="1">
        <v>40</v>
      </c>
      <c r="D5" s="1" t="s">
        <v>139</v>
      </c>
      <c r="E5" s="1" t="s">
        <v>404</v>
      </c>
      <c r="F5" s="1">
        <v>4100</v>
      </c>
      <c r="G5" s="1" t="s">
        <v>401</v>
      </c>
    </row>
    <row r="6" spans="1:10" x14ac:dyDescent="0.3">
      <c r="A6" s="31" t="s">
        <v>163</v>
      </c>
      <c r="B6" s="1">
        <v>70011</v>
      </c>
      <c r="C6" s="1">
        <v>50</v>
      </c>
      <c r="D6" s="1" t="s">
        <v>105</v>
      </c>
      <c r="E6" s="1" t="s">
        <v>405</v>
      </c>
      <c r="F6" s="1">
        <v>4100</v>
      </c>
      <c r="G6" s="1" t="s">
        <v>401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8"/>
  <sheetViews>
    <sheetView zoomScaleNormal="100" workbookViewId="0"/>
  </sheetViews>
  <sheetFormatPr defaultColWidth="8.6640625" defaultRowHeight="14.4" x14ac:dyDescent="0.3"/>
  <sheetData>
    <row r="1" spans="1:10" ht="15" customHeight="1" x14ac:dyDescent="0.3">
      <c r="A1" s="19" t="s">
        <v>273</v>
      </c>
      <c r="B1" s="19" t="s">
        <v>274</v>
      </c>
      <c r="C1" s="19" t="s">
        <v>406</v>
      </c>
      <c r="D1" s="19" t="s">
        <v>276</v>
      </c>
      <c r="E1" s="19" t="s">
        <v>407</v>
      </c>
      <c r="F1" s="19" t="s">
        <v>408</v>
      </c>
      <c r="G1" s="19" t="s">
        <v>409</v>
      </c>
      <c r="H1" s="19" t="s">
        <v>292</v>
      </c>
    </row>
    <row r="2" spans="1:10" ht="15" customHeight="1" x14ac:dyDescent="0.3">
      <c r="A2" s="1" t="s">
        <v>410</v>
      </c>
      <c r="B2" s="1" t="s">
        <v>411</v>
      </c>
      <c r="C2" s="1" t="s">
        <v>412</v>
      </c>
      <c r="D2" s="1">
        <v>200</v>
      </c>
      <c r="E2" s="29">
        <v>44267</v>
      </c>
      <c r="F2" s="1">
        <v>10</v>
      </c>
      <c r="G2" s="1">
        <v>16.5</v>
      </c>
      <c r="H2" s="1" t="s">
        <v>413</v>
      </c>
      <c r="J2" s="3" t="s">
        <v>414</v>
      </c>
    </row>
    <row r="3" spans="1:10" ht="15" customHeight="1" x14ac:dyDescent="0.3">
      <c r="A3" s="1" t="s">
        <v>415</v>
      </c>
      <c r="B3" s="1" t="s">
        <v>416</v>
      </c>
      <c r="C3" s="1" t="s">
        <v>417</v>
      </c>
      <c r="D3" s="1">
        <v>300</v>
      </c>
      <c r="E3" s="29">
        <v>44267</v>
      </c>
      <c r="F3" s="1">
        <v>10</v>
      </c>
      <c r="G3" s="1">
        <v>18.2</v>
      </c>
      <c r="H3" s="1" t="s">
        <v>413</v>
      </c>
    </row>
    <row r="4" spans="1:10" ht="15" customHeight="1" x14ac:dyDescent="0.3">
      <c r="A4" s="1" t="s">
        <v>418</v>
      </c>
      <c r="B4" s="1" t="s">
        <v>419</v>
      </c>
      <c r="C4" s="1" t="s">
        <v>420</v>
      </c>
      <c r="D4" s="1">
        <v>100</v>
      </c>
      <c r="E4" s="29">
        <v>44274</v>
      </c>
      <c r="F4" s="1">
        <v>11</v>
      </c>
      <c r="G4" s="1">
        <v>11.7</v>
      </c>
      <c r="H4" s="1" t="s">
        <v>413</v>
      </c>
    </row>
    <row r="5" spans="1:10" ht="15" customHeight="1" x14ac:dyDescent="0.3">
      <c r="A5" s="1" t="s">
        <v>421</v>
      </c>
      <c r="B5" s="1" t="s">
        <v>422</v>
      </c>
      <c r="C5" s="1" t="s">
        <v>423</v>
      </c>
      <c r="D5" s="1">
        <v>500</v>
      </c>
      <c r="E5" s="29">
        <v>44281</v>
      </c>
      <c r="F5" s="1">
        <v>12</v>
      </c>
      <c r="G5" s="1">
        <v>23.8</v>
      </c>
      <c r="H5" s="1" t="s">
        <v>413</v>
      </c>
    </row>
    <row r="6" spans="1:10" ht="15" customHeight="1" x14ac:dyDescent="0.3">
      <c r="A6" s="1" t="s">
        <v>424</v>
      </c>
      <c r="B6" s="1" t="s">
        <v>425</v>
      </c>
      <c r="C6" s="1" t="s">
        <v>426</v>
      </c>
      <c r="D6" s="1">
        <v>150</v>
      </c>
      <c r="E6" s="29">
        <v>44281</v>
      </c>
      <c r="F6" s="1">
        <v>12</v>
      </c>
      <c r="G6" s="1">
        <v>14.8</v>
      </c>
      <c r="H6" s="1" t="s">
        <v>413</v>
      </c>
    </row>
    <row r="7" spans="1:10" ht="15" customHeight="1" x14ac:dyDescent="0.3">
      <c r="A7" s="1" t="s">
        <v>427</v>
      </c>
      <c r="B7" s="1" t="s">
        <v>411</v>
      </c>
      <c r="C7" s="1" t="s">
        <v>428</v>
      </c>
      <c r="D7" s="1">
        <v>40</v>
      </c>
      <c r="E7" s="29">
        <v>44295</v>
      </c>
      <c r="F7" s="1">
        <v>14</v>
      </c>
      <c r="G7" s="1">
        <v>10.8</v>
      </c>
      <c r="H7" s="1"/>
    </row>
    <row r="8" spans="1:10" ht="15" customHeight="1" x14ac:dyDescent="0.3">
      <c r="A8" s="1" t="s">
        <v>429</v>
      </c>
      <c r="B8" s="1" t="s">
        <v>430</v>
      </c>
      <c r="C8" s="1" t="s">
        <v>431</v>
      </c>
      <c r="D8" s="1">
        <v>2000</v>
      </c>
      <c r="E8" s="29">
        <v>44295</v>
      </c>
      <c r="F8" s="1">
        <v>14</v>
      </c>
      <c r="G8" s="1">
        <v>30.4</v>
      </c>
      <c r="H8" s="1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3:B4"/>
  <sheetViews>
    <sheetView zoomScaleNormal="100" workbookViewId="0"/>
  </sheetViews>
  <sheetFormatPr defaultColWidth="8.6640625" defaultRowHeight="14.4" x14ac:dyDescent="0.3"/>
  <sheetData>
    <row r="3" spans="2:2" ht="15" customHeight="1" x14ac:dyDescent="0.3">
      <c r="B3" s="12" t="s">
        <v>432</v>
      </c>
    </row>
    <row r="4" spans="2:2" ht="15" customHeight="1" x14ac:dyDescent="0.3">
      <c r="B4" s="12">
        <f>Aufträge!L4*2</f>
        <v>31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Übersicht</vt:lpstr>
      <vt:lpstr>Parameter</vt:lpstr>
      <vt:lpstr>Lieferanten</vt:lpstr>
      <vt:lpstr>Rohmaterial</vt:lpstr>
      <vt:lpstr>Artikel</vt:lpstr>
      <vt:lpstr>Stückliste</vt:lpstr>
      <vt:lpstr>Kapazität</vt:lpstr>
      <vt:lpstr>Aufträge</vt:lpstr>
      <vt:lpstr>Wochenplan</vt:lpstr>
      <vt:lpstr>Bedarf</vt:lpstr>
      <vt:lpstr>ERP_Export</vt:lpstr>
      <vt:lpstr>Planung_2021_alt</vt:lpstr>
      <vt:lpstr>Tabelle3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Herzig Oliver</cp:lastModifiedBy>
  <cp:revision>0</cp:revision>
  <dcterms:created xsi:type="dcterms:W3CDTF">2026-09-12T14:39:38Z</dcterms:created>
  <dcterms:modified xsi:type="dcterms:W3CDTF">2026-09-13T13:08:47Z</dcterms:modified>
  <dc:language>en-US</dc:language>
</cp:coreProperties>
</file>